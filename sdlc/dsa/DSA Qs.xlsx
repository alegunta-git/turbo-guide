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and OOP Design" sheetId="1" r:id="rId4"/>
    <sheet state="visible" name="DataScienceEngineer" sheetId="2" r:id="rId5"/>
    <sheet state="visible" name="System Design" sheetId="3" r:id="rId6"/>
    <sheet state="visible" name="Kodnest 150" sheetId="4" r:id="rId7"/>
  </sheets>
  <definedNames/>
  <calcPr/>
  <extLst>
    <ext uri="GoogleSheetsCustomDataVersion2">
      <go:sheetsCustomData xmlns:go="http://customooxmlschemas.google.com/" r:id="rId8" roundtripDataChecksum="PnuFfkcc16S0LDZMi35Ib5IE5hBc537Exbgk7ybYW1I="/>
    </ext>
  </extLst>
</workbook>
</file>

<file path=xl/sharedStrings.xml><?xml version="1.0" encoding="utf-8"?>
<sst xmlns="http://schemas.openxmlformats.org/spreadsheetml/2006/main" count="1398" uniqueCount="691">
  <si>
    <t xml:space="preserve">                                       Technique</t>
  </si>
  <si>
    <t>Problem</t>
  </si>
  <si>
    <t>Repo Name</t>
  </si>
  <si>
    <t>Warmup</t>
  </si>
  <si>
    <t>General Discussion About Data Structures</t>
  </si>
  <si>
    <t>No Repo</t>
  </si>
  <si>
    <t>Design</t>
  </si>
  <si>
    <t>Implement HashMap</t>
  </si>
  <si>
    <t>Design-1</t>
  </si>
  <si>
    <t>Implement MinStack</t>
  </si>
  <si>
    <t>Design, Stack</t>
  </si>
  <si>
    <t>Create Queue using Stacks</t>
  </si>
  <si>
    <t>Design-2</t>
  </si>
  <si>
    <t xml:space="preserve">Design </t>
  </si>
  <si>
    <t>Implement HashSet</t>
  </si>
  <si>
    <t>Binary Search</t>
  </si>
  <si>
    <t>Search inside a Rotated sorted Array</t>
  </si>
  <si>
    <t>Binary Search - 1</t>
  </si>
  <si>
    <t>Search inside a Sorted Array Whose length is unknown</t>
  </si>
  <si>
    <t>Search a 2D Matrix</t>
  </si>
  <si>
    <t>Find the First and Last position of an element in a sorted array</t>
  </si>
  <si>
    <t>Binary Search - 2</t>
  </si>
  <si>
    <t>Find the Minimum in Rotated Array(Sorted)</t>
  </si>
  <si>
    <t>Find the Peak Element</t>
  </si>
  <si>
    <t>Mock Interview</t>
  </si>
  <si>
    <t>Problem1:Binary Search</t>
  </si>
  <si>
    <t>Problem2:Design</t>
  </si>
  <si>
    <t>Hashing</t>
  </si>
  <si>
    <t>Grouping Anagrams together</t>
  </si>
  <si>
    <t>Hashing-1</t>
  </si>
  <si>
    <t>Isomorphic Strings</t>
  </si>
  <si>
    <t>Word Pattern</t>
  </si>
  <si>
    <t>Subarray Sum equals K</t>
  </si>
  <si>
    <t>Hashing-2</t>
  </si>
  <si>
    <t>Contiguos Subarray</t>
  </si>
  <si>
    <t>Longest Palindrome in a string</t>
  </si>
  <si>
    <t>Dynamic Programming</t>
  </si>
  <si>
    <t>The Coin Change</t>
  </si>
  <si>
    <t>DP-1</t>
  </si>
  <si>
    <t>Robber</t>
  </si>
  <si>
    <t>House Colouring</t>
  </si>
  <si>
    <t>DP-2</t>
  </si>
  <si>
    <t>Change for coins</t>
  </si>
  <si>
    <t>Least falling path sum</t>
  </si>
  <si>
    <t>DP-3</t>
  </si>
  <si>
    <t>Calculate max delete and earn</t>
  </si>
  <si>
    <t>Problem1:Hashing,Two Pointers,Binary Search</t>
  </si>
  <si>
    <t>Problem2:DP</t>
  </si>
  <si>
    <t>Arrays</t>
  </si>
  <si>
    <t>Product Except Itself</t>
  </si>
  <si>
    <t>Arrays-1</t>
  </si>
  <si>
    <t>Diagonal iteration</t>
  </si>
  <si>
    <t>Spiral Traverse</t>
  </si>
  <si>
    <t>Disappreared numbers</t>
  </si>
  <si>
    <t>Arrays-2</t>
  </si>
  <si>
    <t>Max and min</t>
  </si>
  <si>
    <t>Life game</t>
  </si>
  <si>
    <t>Two Pointers</t>
  </si>
  <si>
    <t>Arrange colors</t>
  </si>
  <si>
    <t xml:space="preserve">Two Pointers-1 </t>
  </si>
  <si>
    <t>Sum equal to 0</t>
  </si>
  <si>
    <t>Container with most water</t>
  </si>
  <si>
    <t>Merging of 2 arrays</t>
  </si>
  <si>
    <t xml:space="preserve">Two Pointers-2 </t>
  </si>
  <si>
    <t>Search 2D sorted matrix II</t>
  </si>
  <si>
    <t>Edit and remove duplicates in an array</t>
  </si>
  <si>
    <t>Contest</t>
  </si>
  <si>
    <t>{S30} Nutanix</t>
  </si>
  <si>
    <t>Problem1:Arrays</t>
  </si>
  <si>
    <t>Problem2:Two Pointers, Hashing</t>
  </si>
  <si>
    <t>Trees, DFS</t>
  </si>
  <si>
    <t>Validate BST</t>
  </si>
  <si>
    <t>Trees-1</t>
  </si>
  <si>
    <t>Construct Binary Tree From PreOrder and Inorder Traversal</t>
  </si>
  <si>
    <t>Construct Binary Tree From Inorder and Postorder Traversal</t>
  </si>
  <si>
    <t>Trees-2</t>
  </si>
  <si>
    <t>Tree</t>
  </si>
  <si>
    <t>Root to leaf sum</t>
  </si>
  <si>
    <t>Root to leaf sum II</t>
  </si>
  <si>
    <t>Trees-3</t>
  </si>
  <si>
    <t>Mirror image of itself tree</t>
  </si>
  <si>
    <t>Linked List</t>
  </si>
  <si>
    <t>Reverse a Linkedlist</t>
  </si>
  <si>
    <t>LinkedList-1</t>
  </si>
  <si>
    <t>Remove nth node</t>
  </si>
  <si>
    <t>Cycle in linked list</t>
  </si>
  <si>
    <t>BST Iterator</t>
  </si>
  <si>
    <t>LinkedList-2</t>
  </si>
  <si>
    <t>Reordering of Linkedlist</t>
  </si>
  <si>
    <t>Deletion of node</t>
  </si>
  <si>
    <t>Intersection of two Lists</t>
  </si>
  <si>
    <t>Problem1:LinkedList</t>
  </si>
  <si>
    <t>Problem2:Trees</t>
  </si>
  <si>
    <t>BFS</t>
  </si>
  <si>
    <t>Level order traversal in Binary tree</t>
  </si>
  <si>
    <t>BFS-1</t>
  </si>
  <si>
    <t>DFS, BFS</t>
  </si>
  <si>
    <t>Scheduling courses</t>
  </si>
  <si>
    <t>Right side view of a tree</t>
  </si>
  <si>
    <t>Cousins in Tree</t>
  </si>
  <si>
    <t>BFS-2</t>
  </si>
  <si>
    <t>Oranges getting rotten</t>
  </si>
  <si>
    <t>Importance of Employee</t>
  </si>
  <si>
    <t>DFS</t>
  </si>
  <si>
    <t>Flood fill the image</t>
  </si>
  <si>
    <t>DFS-1</t>
  </si>
  <si>
    <t>Nearest zero</t>
  </si>
  <si>
    <t>Count of islands</t>
  </si>
  <si>
    <t>DFS-2</t>
  </si>
  <si>
    <t>Decoding String</t>
  </si>
  <si>
    <t>Problem1:DFS</t>
  </si>
  <si>
    <t>Problem2:BFS</t>
  </si>
  <si>
    <t>Backtracking</t>
  </si>
  <si>
    <t>Combination Sum</t>
  </si>
  <si>
    <t>Backtracking-1</t>
  </si>
  <si>
    <t>operations and expressions</t>
  </si>
  <si>
    <t>Subsets</t>
  </si>
  <si>
    <t>Backtracking-2</t>
  </si>
  <si>
    <t>Palindrome Partitioning</t>
  </si>
  <si>
    <t>NQueens</t>
  </si>
  <si>
    <t>Backtracking-3</t>
  </si>
  <si>
    <t>Word Search</t>
  </si>
  <si>
    <t>Tries</t>
  </si>
  <si>
    <t>Create Prefix Tree</t>
  </si>
  <si>
    <t>Tries-1</t>
  </si>
  <si>
    <t xml:space="preserve">Mazimum len Word </t>
  </si>
  <si>
    <t>Replacing  Words</t>
  </si>
  <si>
    <t>Flatten Nested List Iterator</t>
  </si>
  <si>
    <t>Design-3</t>
  </si>
  <si>
    <t>Design Cache(LRU)</t>
  </si>
  <si>
    <t>Problem1:Design</t>
  </si>
  <si>
    <t>Problem2:Backtracking</t>
  </si>
  <si>
    <t xml:space="preserve">Heap </t>
  </si>
  <si>
    <t>Kth largest term</t>
  </si>
  <si>
    <t>Heaps-1</t>
  </si>
  <si>
    <t>Merge k Sorted Linked Lists</t>
  </si>
  <si>
    <t>Design, Heap, Hash Table</t>
  </si>
  <si>
    <t xml:space="preserve">Twitter </t>
  </si>
  <si>
    <t>Design-4</t>
  </si>
  <si>
    <t>Skip Iterator design</t>
  </si>
  <si>
    <t>X raised to the power N</t>
  </si>
  <si>
    <t>Binary-Search-3</t>
  </si>
  <si>
    <t>K Closest term</t>
  </si>
  <si>
    <t>Binary Search, Two Pointers</t>
  </si>
  <si>
    <t>Optimize of Routes</t>
  </si>
  <si>
    <t>Researcher's H-index</t>
  </si>
  <si>
    <t>Binary-Search-4</t>
  </si>
  <si>
    <t xml:space="preserve">Intersection of Arrays </t>
  </si>
  <si>
    <t>Median of Arrays</t>
  </si>
  <si>
    <t>Problem1:Heap</t>
  </si>
  <si>
    <t>String</t>
  </si>
  <si>
    <t>String in custom sort</t>
  </si>
  <si>
    <t>Strings-1</t>
  </si>
  <si>
    <t>Sliding Window</t>
  </si>
  <si>
    <t xml:space="preserve">Longest substring </t>
  </si>
  <si>
    <t>Strings</t>
  </si>
  <si>
    <t>string String</t>
  </si>
  <si>
    <t>Strings-2</t>
  </si>
  <si>
    <t>Strings, Sliding Window</t>
  </si>
  <si>
    <t>String Anagrams</t>
  </si>
  <si>
    <t>String, Math</t>
  </si>
  <si>
    <t>Convert Interger to English Words</t>
  </si>
  <si>
    <t>Strings-3</t>
  </si>
  <si>
    <t>Design calculator</t>
  </si>
  <si>
    <t>Trees</t>
  </si>
  <si>
    <t>Kth smallest element in a BST</t>
  </si>
  <si>
    <t>Trees-4</t>
  </si>
  <si>
    <t xml:space="preserve">Lowest Common Ancestor </t>
  </si>
  <si>
    <t>Lowest Common Ancestor of a Binary Tree</t>
  </si>
  <si>
    <t>Populating Next Right Pointers in Each Node</t>
  </si>
  <si>
    <t>Trees-5</t>
  </si>
  <si>
    <t>Recovering a Binary Search Tree</t>
  </si>
  <si>
    <t xml:space="preserve">Morris Inorder Traversal </t>
  </si>
  <si>
    <t>Problem1: Strings</t>
  </si>
  <si>
    <t>Problem2: Trees</t>
  </si>
  <si>
    <t>Maximal square in a 2D matrix</t>
  </si>
  <si>
    <t>DP-4</t>
  </si>
  <si>
    <t>Maximum sum by Partition Array</t>
  </si>
  <si>
    <t>Dynamic Programming, BFS</t>
  </si>
  <si>
    <t>Word Break</t>
  </si>
  <si>
    <t>DP-5</t>
  </si>
  <si>
    <t>Find all Unique Paths</t>
  </si>
  <si>
    <t>Design, BFS</t>
  </si>
  <si>
    <t>Design Parking Lot</t>
  </si>
  <si>
    <t>Design-5</t>
  </si>
  <si>
    <t>Copy Random pointer list</t>
  </si>
  <si>
    <t>Graph</t>
  </si>
  <si>
    <t>Find the town Judge</t>
  </si>
  <si>
    <t>Graph-1</t>
  </si>
  <si>
    <t>Ball in the Maze</t>
  </si>
  <si>
    <t>{S30}Amazon</t>
  </si>
  <si>
    <t>Problem1 : BFS, Graph</t>
  </si>
  <si>
    <t>Problem2 : Dp</t>
  </si>
  <si>
    <t>Find maximum H-index Value</t>
  </si>
  <si>
    <t>Array-3</t>
  </si>
  <si>
    <t>Calculating Trapping Rain Water</t>
  </si>
  <si>
    <t>Rotating Arrar by K places to the right</t>
  </si>
  <si>
    <t xml:space="preserve">Array Partition </t>
  </si>
  <si>
    <t>Array-4</t>
  </si>
  <si>
    <t>Find Maximim Subarray</t>
  </si>
  <si>
    <t>Implement Next Permutation</t>
  </si>
  <si>
    <t>Design. linked list</t>
  </si>
  <si>
    <t>Design Phone Directory</t>
  </si>
  <si>
    <t>Design-6</t>
  </si>
  <si>
    <t>Design, Trie</t>
  </si>
  <si>
    <t>Autocomplete System for a search engine</t>
  </si>
  <si>
    <t>Desin Cache Least Fruequent One</t>
  </si>
  <si>
    <t>Design-7</t>
  </si>
  <si>
    <t>Snake Game</t>
  </si>
  <si>
    <t>{S30}Facebook</t>
  </si>
  <si>
    <t>Problem1 : Arrays</t>
  </si>
  <si>
    <t>Problem2 : Design</t>
  </si>
  <si>
    <t>Stack</t>
  </si>
  <si>
    <t>Waiting for a warmer day</t>
  </si>
  <si>
    <t>Stack-1</t>
  </si>
  <si>
    <t>Next Greater Element II</t>
  </si>
  <si>
    <t xml:space="preserve">Exclusive Time </t>
  </si>
  <si>
    <t>Stack-2</t>
  </si>
  <si>
    <t>Valid Parenthesis</t>
  </si>
  <si>
    <t>Greedy</t>
  </si>
  <si>
    <t>Distribute Candy</t>
  </si>
  <si>
    <t>Greedy-2</t>
  </si>
  <si>
    <t>Reaching the last index</t>
  </si>
  <si>
    <t>Greedy-1</t>
  </si>
  <si>
    <t>Reaching the last index II</t>
  </si>
  <si>
    <t>Schedule Tasks</t>
  </si>
  <si>
    <t>Reconstruct Queue by height</t>
  </si>
  <si>
    <t>Greedy-3</t>
  </si>
  <si>
    <t>Label partitioning</t>
  </si>
  <si>
    <t>{S30}Google</t>
  </si>
  <si>
    <t>Problem1 : Stack</t>
  </si>
  <si>
    <t>Problem2 : Greedy</t>
  </si>
  <si>
    <t>Invalid Parenthesis Removal</t>
  </si>
  <si>
    <t>BFS-3</t>
  </si>
  <si>
    <t>Clone Graph from Reference input</t>
  </si>
  <si>
    <t>The Minesweeper Game</t>
  </si>
  <si>
    <t>BFS-4</t>
  </si>
  <si>
    <t>The Snakes and ladders Game</t>
  </si>
  <si>
    <t>Edit Distance</t>
  </si>
  <si>
    <t>DP-7</t>
  </si>
  <si>
    <t>Match Regular Expression</t>
  </si>
  <si>
    <t>Find arithmetic slices</t>
  </si>
  <si>
    <t>DP-8</t>
  </si>
  <si>
    <t>Minimum path in a triangle</t>
  </si>
  <si>
    <t>Length of Longest Increasing Subsequence</t>
  </si>
  <si>
    <t>DP-9</t>
  </si>
  <si>
    <t>Envelopes like russian doll</t>
  </si>
  <si>
    <t xml:space="preserve">Problem1 </t>
  </si>
  <si>
    <t>Max earning by Balloon bursting</t>
  </si>
  <si>
    <t>DP-10</t>
  </si>
  <si>
    <t>Find K in Super Egg Drop</t>
  </si>
  <si>
    <t>Find the Critical connections in a Network</t>
  </si>
  <si>
    <t>Graph-2</t>
  </si>
  <si>
    <t>Minimizing the  Malware Spread in a network</t>
  </si>
  <si>
    <t>Optimal Placement of Buiildings in a grid</t>
  </si>
  <si>
    <t>Backtracking-4</t>
  </si>
  <si>
    <t>Word List Brace Expansion</t>
  </si>
  <si>
    <t>Greedy/Binary Search</t>
  </si>
  <si>
    <t>Minimum path for String formation</t>
  </si>
  <si>
    <t>Greedy-4</t>
  </si>
  <si>
    <t>Equal Row from Minimum Domino rotations</t>
  </si>
  <si>
    <t>Wildcard Matching</t>
  </si>
  <si>
    <t>Greedy-5</t>
  </si>
  <si>
    <t>Bikes in a campus</t>
  </si>
  <si>
    <t>DNA Sequencing</t>
  </si>
  <si>
    <t>Hashing-3</t>
  </si>
  <si>
    <t>Favourite Genres</t>
  </si>
  <si>
    <t>Robot Circle Bound</t>
  </si>
  <si>
    <t>Array-5</t>
  </si>
  <si>
    <t>Calculate Tax</t>
  </si>
  <si>
    <t>Longest substring Palindrome</t>
  </si>
  <si>
    <t>DP-6</t>
  </si>
  <si>
    <t>Find Ugly number II</t>
  </si>
  <si>
    <t>Bit Manipulation</t>
  </si>
  <si>
    <t>Divide two numbers</t>
  </si>
  <si>
    <t>BitManipulation-1</t>
  </si>
  <si>
    <t>Single occurrence of a number</t>
  </si>
  <si>
    <t>Pair of single number</t>
  </si>
  <si>
    <t>Find object in a grid</t>
  </si>
  <si>
    <t>Binary-Search-5</t>
  </si>
  <si>
    <t>Sum between two ranges of BST</t>
  </si>
  <si>
    <t>Trees-6</t>
  </si>
  <si>
    <t>Serialize and Deserialize Binary Tree</t>
  </si>
  <si>
    <t xml:space="preserve">Trees </t>
  </si>
  <si>
    <t>Vertical Traversal of a Tree</t>
  </si>
  <si>
    <t>Number Confused</t>
  </si>
  <si>
    <t>DFS-3</t>
  </si>
  <si>
    <t>Matchsticks to square</t>
  </si>
  <si>
    <t>Atoi Sequence</t>
  </si>
  <si>
    <t>Strings-4</t>
  </si>
  <si>
    <t xml:space="preserve">String </t>
  </si>
  <si>
    <t>Reorder log files data using comparator</t>
  </si>
  <si>
    <t>List of word squares</t>
  </si>
  <si>
    <t>Tries-2</t>
  </si>
  <si>
    <t>Match CamelCases</t>
  </si>
  <si>
    <t>Top k frequently repeating elements</t>
  </si>
  <si>
    <t>Heaps-2</t>
  </si>
  <si>
    <t>Buy and sell stocks at best time</t>
  </si>
  <si>
    <t>Array-6</t>
  </si>
  <si>
    <t>Arrays, DP</t>
  </si>
  <si>
    <t>Buy and sell stocks at best time iii</t>
  </si>
  <si>
    <t>Buy and sell stocks at best time iV</t>
  </si>
  <si>
    <t>Buy and sell stocks with cooldown</t>
  </si>
  <si>
    <t>Find celebrity</t>
  </si>
  <si>
    <t>Graph-3</t>
  </si>
  <si>
    <t xml:space="preserve">Verify Alien Dictionary </t>
  </si>
  <si>
    <t>Alien Dictionary</t>
  </si>
  <si>
    <t>Weight sum of a nested list</t>
  </si>
  <si>
    <t>DFS-4</t>
  </si>
  <si>
    <t>Coin distribution</t>
  </si>
  <si>
    <t>Misc-1</t>
  </si>
  <si>
    <t>Math, Greedy</t>
  </si>
  <si>
    <t>Calculate using Broken calculator</t>
  </si>
  <si>
    <t>Character stream</t>
  </si>
  <si>
    <t>Misc-2</t>
  </si>
  <si>
    <t>Sum of the products of all possible Subsets</t>
  </si>
  <si>
    <t>Sparse search</t>
  </si>
  <si>
    <t>Minimum word distance</t>
  </si>
  <si>
    <t>Array-7</t>
  </si>
  <si>
    <t>Minimum word distance ii</t>
  </si>
  <si>
    <t>Array-8</t>
  </si>
  <si>
    <t>Minimum word distance iii</t>
  </si>
  <si>
    <t>Capacity To Ship Packages Within D Days</t>
  </si>
  <si>
    <t>Misc-3</t>
  </si>
  <si>
    <t>Reverse Nodes in k-Group</t>
  </si>
  <si>
    <t>Online Election</t>
  </si>
  <si>
    <t>Miscallaneous-4</t>
  </si>
  <si>
    <t>Largest Rectangle in Histogram</t>
  </si>
  <si>
    <t>Find comsecutive ones</t>
  </si>
  <si>
    <t>Misc-5</t>
  </si>
  <si>
    <t>Remove continuous characters from string</t>
  </si>
  <si>
    <t>Array Threshhold</t>
  </si>
  <si>
    <t>Miscallaneous-6</t>
  </si>
  <si>
    <t>Arrays/Matrix</t>
  </si>
  <si>
    <t>Multiplication in a spiral matrix</t>
  </si>
  <si>
    <t>Read N characters multiple times</t>
  </si>
  <si>
    <t>Strings-5</t>
  </si>
  <si>
    <t>Distribute water in a village</t>
  </si>
  <si>
    <t>{S30} Amazon Interview Kit</t>
  </si>
  <si>
    <t>3 problems</t>
  </si>
  <si>
    <t>{S30} Google Interview Kit</t>
  </si>
  <si>
    <t>{S30} Facebook Interview Kit</t>
  </si>
  <si>
    <t>{S30} Nutanix Interview Kit</t>
  </si>
  <si>
    <t xml:space="preserve">Problem2 </t>
  </si>
  <si>
    <t>Technique</t>
  </si>
  <si>
    <t xml:space="preserve">Problem </t>
  </si>
  <si>
    <t xml:space="preserve">Repo Name </t>
  </si>
  <si>
    <t>Day</t>
  </si>
  <si>
    <t>Links</t>
  </si>
  <si>
    <t>comments</t>
  </si>
  <si>
    <t>SQL</t>
  </si>
  <si>
    <t>Big Countries</t>
  </si>
  <si>
    <t>Sql1</t>
  </si>
  <si>
    <t>https://leetcode.com/problems/big-countries/</t>
  </si>
  <si>
    <t>Nth Highest Salary</t>
  </si>
  <si>
    <t>https://leetcode.com/problems/nth-highest-salary/</t>
  </si>
  <si>
    <t>Delete Duplicate Emails</t>
  </si>
  <si>
    <t>https://leetcode.com/problems/delete-duplicate-emails/</t>
  </si>
  <si>
    <t>Rank Scores</t>
  </si>
  <si>
    <t>Sql2</t>
  </si>
  <si>
    <t>https://leetcode.com/problems/rank-scores/</t>
  </si>
  <si>
    <t>Exchange Seats</t>
  </si>
  <si>
    <t>https://leetcode.com/problems/exchange-seats/</t>
  </si>
  <si>
    <t>Tree Node</t>
  </si>
  <si>
    <t>https://leetcode.com/problems/tree-node/</t>
  </si>
  <si>
    <t>Deparment Top 3 Salaries</t>
  </si>
  <si>
    <t>https://leetcode.com/problems/department-top-three-salaries/</t>
  </si>
  <si>
    <t>Consecutive Numbers</t>
  </si>
  <si>
    <t>Sql3</t>
  </si>
  <si>
    <t>https://leetcode.com/problems/consecutive-numbers/</t>
  </si>
  <si>
    <t xml:space="preserve">Number of Passengers in Each Bus </t>
  </si>
  <si>
    <t>https://leetcode.com/problems/the-number-of-passengers-in-each-bus-i/</t>
  </si>
  <si>
    <t>User Activity</t>
  </si>
  <si>
    <t>https://leetcode.com/problems/user-activity-for-the-past-30-days-i/</t>
  </si>
  <si>
    <t>Dynamic Pivoting of a Table</t>
  </si>
  <si>
    <t>https://leetcode.com/problems/dynamic-pivoting-of-a-table/</t>
  </si>
  <si>
    <t>The Number of Seniors and Juniors to Join the Company</t>
  </si>
  <si>
    <t>Sql4</t>
  </si>
  <si>
    <t>https://leetcode.com/problems/the-number-of-seniors-and-juniors-to-join-the-company/</t>
  </si>
  <si>
    <t>League Statistics</t>
  </si>
  <si>
    <t>https://leetcode.com/problems/league-statistics/</t>
  </si>
  <si>
    <t>Sales Person</t>
  </si>
  <si>
    <t>https://leetcode.com/problems/sales-person/</t>
  </si>
  <si>
    <t>Interview Problem SQL</t>
  </si>
  <si>
    <t>Mock_SQL</t>
  </si>
  <si>
    <t>Friend Requests II</t>
  </si>
  <si>
    <t>https://leetcode.com/problems/friend-requests-ii-who-has-the-most-friends/</t>
  </si>
  <si>
    <t>Report Contiguos Dates</t>
  </si>
  <si>
    <t>Sql5</t>
  </si>
  <si>
    <t>https://leetcode.com/problems/report-contiguous-dates/</t>
  </si>
  <si>
    <t>Student Report By Geography</t>
  </si>
  <si>
    <t>https://leetcode.com/problems/students-report-by-geography/</t>
  </si>
  <si>
    <t>Average Salary Department vs Company</t>
  </si>
  <si>
    <t>https://leetcode.com/problems/average-salary-departments-vs-company/</t>
  </si>
  <si>
    <t>Game Play Analysis I</t>
  </si>
  <si>
    <t>https://leetcode.com/problems/game-play-analysis-i/</t>
  </si>
  <si>
    <t>Game Play Analysis II</t>
  </si>
  <si>
    <t>Sql6</t>
  </si>
  <si>
    <t>https://leetcode.com/problems/game-play-analysis-ii/</t>
  </si>
  <si>
    <t>Game Play Analysis III</t>
  </si>
  <si>
    <t>https://leetcode.com/problems/game-play-analysis-iii/</t>
  </si>
  <si>
    <t>Shortest Distance in a Plane</t>
  </si>
  <si>
    <t>https://leetcode.com/problems/shortest-distance-in-a-plane/</t>
  </si>
  <si>
    <t>Combine Two Tables</t>
  </si>
  <si>
    <t>https://leetcode.com/problems/combine-two-tables/</t>
  </si>
  <si>
    <t>Customers with Strictly Increasing Purchases</t>
  </si>
  <si>
    <t>https://leetcode.com/problems/customers-with-strictly-increasing-purchases/</t>
  </si>
  <si>
    <t>Pandas + Python</t>
  </si>
  <si>
    <t>Pandas1</t>
  </si>
  <si>
    <t>Recyclable and Low Fat Products</t>
  </si>
  <si>
    <t>https://leetcode.com/problems/recyclable-and-low-fat-products/</t>
  </si>
  <si>
    <t>Customer Who Never Order</t>
  </si>
  <si>
    <t>https://leetcode.com/problems/customers-who-never-order/</t>
  </si>
  <si>
    <t>Article Views I</t>
  </si>
  <si>
    <t>Pandas 2</t>
  </si>
  <si>
    <t>https://leetcode.com/problems/article-views-i/</t>
  </si>
  <si>
    <t>Invalid Tweets</t>
  </si>
  <si>
    <t>https://leetcode.com/problems/invalid-tweets/</t>
  </si>
  <si>
    <t>Calculate Special Bonus</t>
  </si>
  <si>
    <t>Pandas 3</t>
  </si>
  <si>
    <t>https://leetcode.com/problems/calculate-special-bonus/</t>
  </si>
  <si>
    <t>Fix Names in a Table</t>
  </si>
  <si>
    <t>https://leetcode.com/problems/fix-names-in-a-table/</t>
  </si>
  <si>
    <t>Patients with a Condition</t>
  </si>
  <si>
    <t>Pandas3</t>
  </si>
  <si>
    <t>https://leetcode.com/problems/patients-with-a-condition/</t>
  </si>
  <si>
    <t>Nth Highest Salary Pandas</t>
  </si>
  <si>
    <t>Pandas4</t>
  </si>
  <si>
    <t>Second Highest Salary</t>
  </si>
  <si>
    <t>https://leetcode.com/problems/second-highest-salary/</t>
  </si>
  <si>
    <t>Department Highest Salary</t>
  </si>
  <si>
    <t>Pandas5</t>
  </si>
  <si>
    <t>https://leetcode.com/problems/department-highest-salary/</t>
  </si>
  <si>
    <t xml:space="preserve">Interview Problem Pandas </t>
  </si>
  <si>
    <t>Mock_Pandas</t>
  </si>
  <si>
    <t>Pandas6</t>
  </si>
  <si>
    <t>The Number of Rich Customers</t>
  </si>
  <si>
    <t>https://leetcode.com/problems/the-number-of-rich-customers/</t>
  </si>
  <si>
    <t>Immediate Food Delivery I</t>
  </si>
  <si>
    <t>Pandas7</t>
  </si>
  <si>
    <t>https://leetcode.com/problems/immediate-food-delivery-i/</t>
  </si>
  <si>
    <t xml:space="preserve">Count Salary Categories </t>
  </si>
  <si>
    <t>https://leetcode.com/problems/count-salary-categories/</t>
  </si>
  <si>
    <t>Find Total Time Spent By Each Employee</t>
  </si>
  <si>
    <t>Pandas8</t>
  </si>
  <si>
    <t>https://leetcode.com/problems/find-total-time-spent-by-each-employee/</t>
  </si>
  <si>
    <t>Number of Unique Subjects Taught By Each Teacher</t>
  </si>
  <si>
    <t>https://leetcode.com/problems/number-of-unique-subjects-taught-by-each-teacher/</t>
  </si>
  <si>
    <t>Classes more than 5 Students</t>
  </si>
  <si>
    <t>https://leetcode.com/problems/classes-more-than-5-students/</t>
  </si>
  <si>
    <t>Pandas9</t>
  </si>
  <si>
    <t>Customers Placing the Largest Number of Orders</t>
  </si>
  <si>
    <t>https://leetcode.com/problems/customer-placing-the-largest-number-of-orders/</t>
  </si>
  <si>
    <t>Group Sold Products by the Date</t>
  </si>
  <si>
    <t>Pandas10</t>
  </si>
  <si>
    <t>https://leetcode.com/problems/group-sold-products-by-the-date/</t>
  </si>
  <si>
    <t>Daily Leads and Partners</t>
  </si>
  <si>
    <t>https://leetcode.com/problems/daily-leads-and-partners/</t>
  </si>
  <si>
    <t>Actors and Directors who Cooperated At Least Three Times</t>
  </si>
  <si>
    <t>https://leetcode.com/problems/actors-and-directors-who-cooperated-at-least-three-times/</t>
  </si>
  <si>
    <t>Replace Employee ID with the Unique Identifier</t>
  </si>
  <si>
    <t>Pandas11</t>
  </si>
  <si>
    <t>https://leetcode.com/problems/replace-employee-id-with-the-unique-identifier/</t>
  </si>
  <si>
    <t>Students and Examinations</t>
  </si>
  <si>
    <t>https://leetcode.com/problems/students-and-examinations/</t>
  </si>
  <si>
    <t>Managers with at Least 5 Direct Reports</t>
  </si>
  <si>
    <t>Pandas12</t>
  </si>
  <si>
    <t>https://leetcode.com/problems/managers-with-at-least-5-direct-reports/</t>
  </si>
  <si>
    <t>Scikit Learn</t>
  </si>
  <si>
    <t>Save and Load Machine Learning Models in Python with scikit-learn</t>
  </si>
  <si>
    <t>Scikit1</t>
  </si>
  <si>
    <t>https://www.geeksforgeeks.org/save-and-load-machine-learning-models-in-python-with-scikit-learn/</t>
  </si>
  <si>
    <t>Data Preprocessing, Analysis, and Visualization for building a Machine learning model</t>
  </si>
  <si>
    <t>https://www.geeksforgeeks.org/data-preprocessing-analysis-and-visualization-for-building-a-machine-learning-model/</t>
  </si>
  <si>
    <t>Building a Machine Learning Model Using J48 Classifier</t>
  </si>
  <si>
    <t>https://www.geeksforgeeks.org/building-a-machine-learning-model-using-j48-classifier/</t>
  </si>
  <si>
    <t>How to Get Regression Model Summary from Scikit-Learn</t>
  </si>
  <si>
    <t>https://www.geeksforgeeks.org/how-to-get-regression-model-summary-from-scikit-learn/</t>
  </si>
  <si>
    <t>Deploy a Machine Learning Model using Streamlit Library</t>
  </si>
  <si>
    <t>Scikit2</t>
  </si>
  <si>
    <t>https://www.geeksforgeeks.org/deploy-a-machine-learning-model-using-streamlit-library/</t>
  </si>
  <si>
    <t>Machine Learning Model with Teachable Machine</t>
  </si>
  <si>
    <t>https://www.geeksforgeeks.org/machine-learning-model-with-teachable-machine/</t>
  </si>
  <si>
    <t xml:space="preserve">Mock SciKit Learn </t>
  </si>
  <si>
    <t xml:space="preserve">Mock_Scikit </t>
  </si>
  <si>
    <t>Implementing PCA in Python with scikit-learn</t>
  </si>
  <si>
    <t>https://www.geeksforgeeks.org/implementing-pca-in-python-with-scikit-learn/</t>
  </si>
  <si>
    <t>Pipelines – Python and scikit-learn</t>
  </si>
  <si>
    <t>https://www.geeksforgeeks.org/pipelines-python-and-scikit-learn/</t>
  </si>
  <si>
    <t>Matplotlib</t>
  </si>
  <si>
    <t>Matplotplib - Introduction</t>
  </si>
  <si>
    <t>Matplotlib1</t>
  </si>
  <si>
    <t>https://www.geeksforgeeks.org/python-introduction-matplotlib/</t>
  </si>
  <si>
    <t>Pyplot in Matplotplib</t>
  </si>
  <si>
    <t>https://www.geeksforgeeks.org/pyplot-in-matplotlib/</t>
  </si>
  <si>
    <t>Matplotplib - Axes Classes</t>
  </si>
  <si>
    <t>https://www.geeksforgeeks.org/matplotlib-axes-class/</t>
  </si>
  <si>
    <t>Multiple Subplots</t>
  </si>
  <si>
    <t>https://www.geeksforgeeks.org/how-to-create-multiple-subplots-in-matplotlib-in-python/</t>
  </si>
  <si>
    <t>Line Chart in Matplotlib</t>
  </si>
  <si>
    <t>Matplotlib2</t>
  </si>
  <si>
    <t>https://www.geeksforgeeks.org/line-chart-in-matplotlib-python/</t>
  </si>
  <si>
    <t>Histogram in Matplotlib</t>
  </si>
  <si>
    <t>https://www.geeksforgeeks.org/plotting-histogram-in-python-using-matplotlib/</t>
  </si>
  <si>
    <t>Scatterplot in Matplotlib</t>
  </si>
  <si>
    <t>https://www.geeksforgeeks.org/matplotlib-pyplot-scatter-in-python/</t>
  </si>
  <si>
    <t>Pie Chart in Matplotlib</t>
  </si>
  <si>
    <t>https://www.geeksforgeeks.org/plot-a-pie-chart-in-python-using-matplotlib/</t>
  </si>
  <si>
    <t xml:space="preserve">Mock MatplotLib </t>
  </si>
  <si>
    <t>Mock_MatplotLib</t>
  </si>
  <si>
    <t>KNN Algorithm</t>
  </si>
  <si>
    <t xml:space="preserve">KNN Algorithm, How to choose the factor K, Applications of KNN algorithm, Working of KNN algorithm, Example usage of KNN by using a sample dataset, Implementation of KNN from scratch
</t>
  </si>
  <si>
    <t>ML Algorithms</t>
  </si>
  <si>
    <t>Decision Trees</t>
  </si>
  <si>
    <t xml:space="preserve">Introduction to Decision Trees, Advantages of a Decision Tree, Disadvantages of a Decision Tree, Problems which can be solved by Decision Tree, Working of a Decision Tree, Example usage of Decision Tree by using a sample dataset
</t>
  </si>
  <si>
    <t xml:space="preserve">Introduction to Random Forest algorithm, Applications of a Random Forest algorithm, Working of a Random Forest algorithm, Example usage of Random Forest algorithm by using a sample dataset
</t>
  </si>
  <si>
    <t>Regression</t>
  </si>
  <si>
    <t xml:space="preserve">Introduction to classification, Introduction to Logistic Regression, Linear vs Logistic Regression, Applications of Logistic Regression, Example usage of Logistic regression by using a sample dataset
</t>
  </si>
  <si>
    <t>Naive Bayes</t>
  </si>
  <si>
    <t xml:space="preserve">Introduction to Naive Bayes Classifier, Advantages of Naive Bayes Classifier, Example usage of Naive Bayes Classifier by using a sample dataset
</t>
  </si>
  <si>
    <t xml:space="preserve">Mock Interview Problem </t>
  </si>
  <si>
    <t>SVM</t>
  </si>
  <si>
    <t xml:space="preserve">Introduction to Support Vector Machine, Advantages of Support Vector Machine, Example usage of Support Vector Machine by using a sample dataset
</t>
  </si>
  <si>
    <t>Ensemble</t>
  </si>
  <si>
    <t>Ensemble Method Bagging and Boosting in ML</t>
  </si>
  <si>
    <t>Problem1: Binary Search</t>
  </si>
  <si>
    <t>Problem1:DP</t>
  </si>
  <si>
    <t>Problem2:Hashing</t>
  </si>
  <si>
    <t>Spiral Matrix</t>
  </si>
  <si>
    <t>Basics of recursion and Validate BST</t>
  </si>
  <si>
    <t>Construct Binary Tree from Preorder and Inorder Traversal</t>
  </si>
  <si>
    <t>​</t>
  </si>
  <si>
    <t>Next Greater Element</t>
  </si>
  <si>
    <t>Problem1 Stack</t>
  </si>
  <si>
    <t>Problem2 DP</t>
  </si>
  <si>
    <t>Lowest Common Ancestor in BST</t>
  </si>
  <si>
    <t xml:space="preserve">Problem1: Tree </t>
  </si>
  <si>
    <t>Problem2: Strings</t>
  </si>
  <si>
    <t>Design Problem</t>
  </si>
  <si>
    <t>Day 1</t>
  </si>
  <si>
    <t>Name of Repo</t>
  </si>
  <si>
    <t xml:space="preserve">Intro to System Design 1 </t>
  </si>
  <si>
    <t>Intro to System Design 2</t>
  </si>
  <si>
    <t>URL Shortening service like TinyURL</t>
  </si>
  <si>
    <t>SD1</t>
  </si>
  <si>
    <t>Instagram</t>
  </si>
  <si>
    <t>SD2</t>
  </si>
  <si>
    <t>Designing Dropbox</t>
  </si>
  <si>
    <t>SD3</t>
  </si>
  <si>
    <t>Facebook Messenger</t>
  </si>
  <si>
    <t>SD4</t>
  </si>
  <si>
    <t>Twitter</t>
  </si>
  <si>
    <t>SD5</t>
  </si>
  <si>
    <t>Mock Interview Week-1 (Doordash)</t>
  </si>
  <si>
    <t>Youtube or Netflix</t>
  </si>
  <si>
    <t>SD6</t>
  </si>
  <si>
    <t>Typeahead Suggestion</t>
  </si>
  <si>
    <t>SD7</t>
  </si>
  <si>
    <t>API Rate Limiter</t>
  </si>
  <si>
    <t>SD8</t>
  </si>
  <si>
    <t>Twitter Search</t>
  </si>
  <si>
    <t>SD9</t>
  </si>
  <si>
    <t>Web Crawler</t>
  </si>
  <si>
    <t>SD10</t>
  </si>
  <si>
    <t>Mock Interview Week-2 (Tinder)</t>
  </si>
  <si>
    <t>Facebook’s Newsfeed</t>
  </si>
  <si>
    <t>SD11</t>
  </si>
  <si>
    <t>Yelp or Nearby Friends</t>
  </si>
  <si>
    <t>SD12</t>
  </si>
  <si>
    <t>Uber backend</t>
  </si>
  <si>
    <t>SD13</t>
  </si>
  <si>
    <t>Introduction to Design Patterns: Singleton, Observer and Dacorator Patterns</t>
  </si>
  <si>
    <t>Choose other patterns that are important</t>
  </si>
  <si>
    <t>Mock Interview Week-3 (Redis)</t>
  </si>
  <si>
    <t>SOLID principles and intro to OOD</t>
  </si>
  <si>
    <t>OOD1</t>
  </si>
  <si>
    <t>Design Ticketmaster</t>
  </si>
  <si>
    <t>OOD2</t>
  </si>
  <si>
    <t>Design a Movie Ticket Booking System</t>
  </si>
  <si>
    <t>OOD3</t>
  </si>
  <si>
    <t>Design an ATM</t>
  </si>
  <si>
    <t>OOD4</t>
  </si>
  <si>
    <t>Design an Airline Management System</t>
  </si>
  <si>
    <t>OOD5</t>
  </si>
  <si>
    <t>Mock interview Week-4 (Parking lot)</t>
  </si>
  <si>
    <t>Design Blackjack and a Deck of Cards</t>
  </si>
  <si>
    <t>OOD6</t>
  </si>
  <si>
    <t>Design a Hotel Management System</t>
  </si>
  <si>
    <t>OOD7</t>
  </si>
  <si>
    <t>Design a Restaurant Management system</t>
  </si>
  <si>
    <t>OOD8</t>
  </si>
  <si>
    <t>Design Chess</t>
  </si>
  <si>
    <t>OOD9</t>
  </si>
  <si>
    <t>Design an Online Stock Brokerage System</t>
  </si>
  <si>
    <t>OOD10</t>
  </si>
  <si>
    <t>Mock interview Week-5 (Amazon Logistics)</t>
  </si>
  <si>
    <t>Design a Car Rental System</t>
  </si>
  <si>
    <t>OOD11</t>
  </si>
  <si>
    <t>Design LinkedIn</t>
  </si>
  <si>
    <t>OOD12</t>
  </si>
  <si>
    <t>Design Facebook - a social network</t>
  </si>
  <si>
    <t>Mock interview Week-6 (Logger system)</t>
  </si>
  <si>
    <t>Serial</t>
  </si>
  <si>
    <t>Problem Name</t>
  </si>
  <si>
    <t>Done?</t>
  </si>
  <si>
    <t>Kodnest 150</t>
  </si>
  <si>
    <t>https://docs.google.com/spreadsheets/d/18CjQlTXihGuIr0LFbImDXdxBSGbH4MgQHa6DYX98-0g/edit?gid=0#gid=0</t>
  </si>
  <si>
    <t>Rotate Array</t>
  </si>
  <si>
    <t>Squares of a sorted array</t>
  </si>
  <si>
    <t>Kadane's Algo</t>
  </si>
  <si>
    <t>Next Greater Element III</t>
  </si>
  <si>
    <t>Max Chunks To Make Sorted II</t>
  </si>
  <si>
    <t>Range Addition</t>
  </si>
  <si>
    <t>Trapping rain water</t>
  </si>
  <si>
    <t>Container With Most Water</t>
  </si>
  <si>
    <t>Recursion and BackTracking</t>
  </si>
  <si>
    <t>Permutations</t>
  </si>
  <si>
    <t>Permutation Sequence</t>
  </si>
  <si>
    <t>Cmbination Sum 2</t>
  </si>
  <si>
    <t>Letter combination of Phone number</t>
  </si>
  <si>
    <t>N Queens</t>
  </si>
  <si>
    <t>Rat in a Maze Path</t>
  </si>
  <si>
    <t>Single Element</t>
  </si>
  <si>
    <t>Single Element 2</t>
  </si>
  <si>
    <t>Single Number 3</t>
  </si>
  <si>
    <t>Divide 2 Integers</t>
  </si>
  <si>
    <t xml:space="preserve"> Max AND Pair.</t>
  </si>
  <si>
    <t>HashMap</t>
  </si>
  <si>
    <t>Count of subarray with sum = k</t>
  </si>
  <si>
    <t>Subarray sum divisible by K</t>
  </si>
  <si>
    <t>Write hashmap</t>
  </si>
  <si>
    <t>Heap</t>
  </si>
  <si>
    <t>Kth Largest Element</t>
  </si>
  <si>
    <t>minimum cost to connect sticks</t>
  </si>
  <si>
    <t>Find Median from Data Stream</t>
  </si>
  <si>
    <t>Painter's partition problem</t>
  </si>
  <si>
    <t>Search in rotated sorted array 2</t>
  </si>
  <si>
    <t>Allocate books</t>
  </si>
  <si>
    <t>LinkedList</t>
  </si>
  <si>
    <t>Intersection point of 2 linked list</t>
  </si>
  <si>
    <t>Stacks and Queues</t>
  </si>
  <si>
    <t>Infix evaluation</t>
  </si>
  <si>
    <t>K queue</t>
  </si>
  <si>
    <t>TREES</t>
  </si>
  <si>
    <t>Top View</t>
  </si>
  <si>
    <t>Max path sum</t>
  </si>
  <si>
    <t>Delete node in bst</t>
  </si>
  <si>
    <t>Next right pointer in each node</t>
  </si>
  <si>
    <t>Trie</t>
  </si>
  <si>
    <t>Implement Trie</t>
  </si>
  <si>
    <t>Max XOR of two numbers in an array</t>
  </si>
  <si>
    <t>Maximum XOR with an element from Array</t>
  </si>
  <si>
    <t>DP</t>
  </si>
  <si>
    <t>longest increasing subsequence</t>
  </si>
  <si>
    <t>building bridges</t>
  </si>
  <si>
    <t>Box stacking</t>
  </si>
  <si>
    <t>Paint house</t>
  </si>
  <si>
    <t>No. of binary string without consecutive 1</t>
  </si>
  <si>
    <t>Possible ways to construct the building</t>
  </si>
  <si>
    <t>Total no. of bst</t>
  </si>
  <si>
    <t>No. of balanced parentheses sequence</t>
  </si>
  <si>
    <t>Min cost path</t>
  </si>
  <si>
    <t>Cherry pickup</t>
  </si>
  <si>
    <t>Cherry pickup 2</t>
  </si>
  <si>
    <t>buy and sell with transaction fee</t>
  </si>
  <si>
    <t>Optimal BST</t>
  </si>
  <si>
    <t>Matrix chain multiplication</t>
  </si>
  <si>
    <t>Longest common subsequence</t>
  </si>
  <si>
    <t>2 egg 100 floor</t>
  </si>
  <si>
    <t>egg drop</t>
  </si>
  <si>
    <t>Regular Expression Matching</t>
  </si>
  <si>
    <t>Palindrome partitioning</t>
  </si>
  <si>
    <t>Frog jump</t>
  </si>
  <si>
    <t>0-1 Knapsack</t>
  </si>
  <si>
    <t>unbounded knapsack</t>
  </si>
  <si>
    <t>Fractional knapsack</t>
  </si>
  <si>
    <t>Coin change combination</t>
  </si>
  <si>
    <t>Coin change permutation</t>
  </si>
  <si>
    <t>GRAPHS</t>
  </si>
  <si>
    <t>Number of Islands</t>
  </si>
  <si>
    <t>Number of Distinct Islands</t>
  </si>
  <si>
    <t>Rotting Oranges</t>
  </si>
  <si>
    <t>swim in rising water</t>
  </si>
  <si>
    <t>Strongly Connected Components (Kosaraju's Algo)</t>
  </si>
  <si>
    <t>Mother Vertex</t>
  </si>
  <si>
    <t>Number of Islands II</t>
  </si>
  <si>
    <t>Regions Cut By Slashes</t>
  </si>
  <si>
    <t>Sentence Similarity II</t>
  </si>
  <si>
    <t>Redundant Connection</t>
  </si>
  <si>
    <t>Sliding Puzzle</t>
  </si>
  <si>
    <t>Floyd Warshall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</si>
</sst>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 mmm"/>
  </numFmts>
  <fonts count="32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sz val="10.0"/>
      <color rgb="FF212121"/>
      <name val="Arial"/>
    </font>
    <font>
      <sz val="11.0"/>
      <color rgb="FF212121"/>
      <name val="Arial"/>
    </font>
    <font>
      <b/>
      <color rgb="FF000000"/>
      <name val="Arial"/>
    </font>
    <font>
      <u/>
      <color rgb="FF0000FF"/>
    </font>
    <font>
      <b/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1155CC"/>
    </font>
    <font>
      <u/>
      <sz val="12.0"/>
      <color rgb="FF0563C1"/>
    </font>
    <font>
      <u/>
      <sz val="12.0"/>
      <color rgb="FF0563C1"/>
    </font>
    <font>
      <u/>
      <sz val="12.0"/>
      <color rgb="FF0563C1"/>
    </font>
    <font>
      <u/>
      <sz val="12.0"/>
      <color rgb="FF1155CC"/>
    </font>
    <font>
      <b/>
      <u/>
      <sz val="12.0"/>
      <color theme="1"/>
      <name val="Arial"/>
      <scheme val="minor"/>
    </font>
    <font>
      <u/>
      <sz val="12.0"/>
      <color rgb="FF1155CC"/>
    </font>
    <font>
      <u/>
      <sz val="12.0"/>
      <color rgb="FF1155CC"/>
    </font>
    <font>
      <u/>
      <sz val="12.0"/>
      <color rgb="FF1155CC"/>
    </font>
    <font>
      <u/>
      <sz val="12.0"/>
      <color rgb="FF3C78D8"/>
    </font>
    <font>
      <u/>
      <sz val="12.0"/>
      <color rgb="FF3C78D8"/>
    </font>
    <font>
      <u/>
      <sz val="12.0"/>
      <color rgb="FF3C78D8"/>
      <name val="Arial"/>
      <scheme val="minor"/>
    </font>
    <font>
      <u/>
      <sz val="12.0"/>
      <color rgb="FF3C78D8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3" numFmtId="0" xfId="0" applyFont="1"/>
    <xf borderId="0" fillId="2" fontId="7" numFmtId="0" xfId="0" applyFont="1"/>
    <xf borderId="0" fillId="2" fontId="8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0" fontId="7" numFmtId="0" xfId="0" applyFont="1"/>
    <xf borderId="0" fillId="2" fontId="6" numFmtId="0" xfId="0" applyAlignment="1" applyFont="1">
      <alignment horizontal="left"/>
    </xf>
    <xf borderId="0" fillId="0" fontId="4" numFmtId="0" xfId="0" applyFont="1"/>
    <xf borderId="0" fillId="2" fontId="4" numFmtId="0" xfId="0" applyFont="1"/>
    <xf borderId="0" fillId="2" fontId="5" numFmtId="0" xfId="0" applyAlignment="1" applyFont="1">
      <alignment vertical="bottom"/>
    </xf>
    <xf borderId="0" fillId="2" fontId="11" numFmtId="0" xfId="0" applyFont="1"/>
    <xf borderId="0" fillId="2" fontId="5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left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shrinkToFit="0" vertical="bottom" wrapText="0"/>
    </xf>
    <xf borderId="0" fillId="2" fontId="15" numFmtId="0" xfId="0" applyAlignment="1" applyFont="1">
      <alignment shrinkToFit="0" vertical="bottom" wrapText="0"/>
    </xf>
    <xf borderId="0" fillId="0" fontId="5" numFmtId="0" xfId="0" applyAlignment="1" applyFont="1">
      <alignment vertical="center"/>
    </xf>
    <xf borderId="0" fillId="2" fontId="6" numFmtId="0" xfId="0" applyAlignment="1" applyFont="1">
      <alignment shrinkToFit="0" vertical="center" wrapText="1"/>
    </xf>
    <xf borderId="0" fillId="2" fontId="7" numFmtId="0" xfId="0" applyAlignment="1" applyFont="1">
      <alignment vertical="center"/>
    </xf>
    <xf borderId="0" fillId="2" fontId="6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left" vertical="bottom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bottom"/>
    </xf>
    <xf borderId="0" fillId="0" fontId="18" numFmtId="0" xfId="0" applyAlignment="1" applyFont="1">
      <alignment readingOrder="0"/>
    </xf>
    <xf borderId="0" fillId="3" fontId="16" numFmtId="0" xfId="0" applyAlignment="1" applyFill="1" applyFont="1">
      <alignment horizontal="left" vertical="bottom"/>
    </xf>
    <xf borderId="0" fillId="0" fontId="17" numFmtId="0" xfId="0" applyAlignment="1" applyFont="1">
      <alignment horizontal="center" vertical="bottom"/>
    </xf>
    <xf borderId="0" fillId="0" fontId="19" numFmtId="0" xfId="0" applyAlignment="1" applyFont="1">
      <alignment horizontal="left" vertical="bottom"/>
    </xf>
    <xf borderId="0" fillId="0" fontId="20" numFmtId="0" xfId="0" applyAlignment="1" applyFont="1">
      <alignment horizontal="left" vertical="bottom"/>
    </xf>
    <xf borderId="0" fillId="2" fontId="21" numFmtId="0" xfId="0" applyAlignment="1" applyFont="1">
      <alignment horizontal="left" vertical="bottom"/>
    </xf>
    <xf borderId="0" fillId="0" fontId="22" numFmtId="164" xfId="0" applyAlignment="1" applyFont="1" applyNumberFormat="1">
      <alignment horizontal="left" vertical="bottom"/>
    </xf>
    <xf borderId="0" fillId="0" fontId="23" numFmtId="164" xfId="0" applyAlignment="1" applyFont="1" applyNumberFormat="1">
      <alignment horizontal="left" vertical="bottom"/>
    </xf>
    <xf borderId="0" fillId="3" fontId="24" numFmtId="0" xfId="0" applyAlignment="1" applyFont="1">
      <alignment horizontal="left" vertical="bottom"/>
    </xf>
    <xf borderId="0" fillId="2" fontId="25" numFmtId="0" xfId="0" applyAlignment="1" applyFont="1">
      <alignment horizontal="left" shrinkToFit="0" vertical="bottom" wrapText="1"/>
    </xf>
    <xf borderId="0" fillId="2" fontId="26" numFmtId="0" xfId="0" applyAlignment="1" applyFont="1">
      <alignment horizontal="left" vertical="bottom"/>
    </xf>
    <xf borderId="0" fillId="0" fontId="27" numFmtId="165" xfId="0" applyAlignment="1" applyFont="1" applyNumberFormat="1">
      <alignment horizontal="left" vertical="bottom"/>
    </xf>
    <xf borderId="0" fillId="0" fontId="28" numFmtId="0" xfId="0" applyAlignment="1" applyFont="1">
      <alignment horizontal="left" vertical="bottom"/>
    </xf>
    <xf borderId="0" fillId="0" fontId="29" numFmtId="164" xfId="0" applyAlignment="1" applyFont="1" applyNumberFormat="1">
      <alignment horizontal="left" vertical="bottom"/>
    </xf>
    <xf borderId="0" fillId="0" fontId="30" numFmtId="0" xfId="0" applyAlignment="1" applyFont="1">
      <alignment horizontal="left" vertical="bottom"/>
    </xf>
    <xf borderId="0" fillId="0" fontId="31" numFmtId="166" xfId="0" applyAlignment="1" applyFont="1" applyNumberFormat="1">
      <alignment horizontal="left" vertical="bottom"/>
    </xf>
    <xf borderId="0" fillId="0" fontId="1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nt-salary-categories/" TargetMode="External"/><Relationship Id="rId42" Type="http://schemas.openxmlformats.org/officeDocument/2006/relationships/hyperlink" Target="https://leetcode.com/problems/number-of-unique-subjects-taught-by-each-teacher/" TargetMode="External"/><Relationship Id="rId41" Type="http://schemas.openxmlformats.org/officeDocument/2006/relationships/hyperlink" Target="https://leetcode.com/problems/find-total-time-spent-by-each-employee/" TargetMode="External"/><Relationship Id="rId44" Type="http://schemas.openxmlformats.org/officeDocument/2006/relationships/hyperlink" Target="https://leetcode.com/problems/game-play-analysis-i/" TargetMode="External"/><Relationship Id="rId43" Type="http://schemas.openxmlformats.org/officeDocument/2006/relationships/hyperlink" Target="https://leetcode.com/problems/classes-more-than-5-students/" TargetMode="External"/><Relationship Id="rId46" Type="http://schemas.openxmlformats.org/officeDocument/2006/relationships/hyperlink" Target="https://leetcode.com/problems/group-sold-products-by-the-date/" TargetMode="External"/><Relationship Id="rId45" Type="http://schemas.openxmlformats.org/officeDocument/2006/relationships/hyperlink" Target="https://leetcode.com/problems/customer-placing-the-largest-number-of-orders/" TargetMode="External"/><Relationship Id="rId1" Type="http://schemas.openxmlformats.org/officeDocument/2006/relationships/hyperlink" Target="https://leetcode.com/problems/big-countries/" TargetMode="External"/><Relationship Id="rId2" Type="http://schemas.openxmlformats.org/officeDocument/2006/relationships/hyperlink" Target="https://leetcode.com/problems/nth-highest-salary/" TargetMode="External"/><Relationship Id="rId3" Type="http://schemas.openxmlformats.org/officeDocument/2006/relationships/hyperlink" Target="https://leetcode.com/problems/delete-duplicate-emails/" TargetMode="External"/><Relationship Id="rId4" Type="http://schemas.openxmlformats.org/officeDocument/2006/relationships/hyperlink" Target="https://leetcode.com/problems/rank-scores/" TargetMode="External"/><Relationship Id="rId9" Type="http://schemas.openxmlformats.org/officeDocument/2006/relationships/hyperlink" Target="https://leetcode.com/problems/the-number-of-passengers-in-each-bus-i/" TargetMode="External"/><Relationship Id="rId48" Type="http://schemas.openxmlformats.org/officeDocument/2006/relationships/hyperlink" Target="https://leetcode.com/problems/actors-and-directors-who-cooperated-at-least-three-times/" TargetMode="External"/><Relationship Id="rId47" Type="http://schemas.openxmlformats.org/officeDocument/2006/relationships/hyperlink" Target="https://leetcode.com/problems/daily-leads-and-partners/" TargetMode="External"/><Relationship Id="rId49" Type="http://schemas.openxmlformats.org/officeDocument/2006/relationships/hyperlink" Target="https://leetcode.com/problems/replace-employee-id-with-the-unique-identifier/" TargetMode="External"/><Relationship Id="rId5" Type="http://schemas.openxmlformats.org/officeDocument/2006/relationships/hyperlink" Target="https://leetcode.com/problems/exchange-seats/" TargetMode="External"/><Relationship Id="rId6" Type="http://schemas.openxmlformats.org/officeDocument/2006/relationships/hyperlink" Target="https://leetcode.com/problems/tree-node/" TargetMode="External"/><Relationship Id="rId7" Type="http://schemas.openxmlformats.org/officeDocument/2006/relationships/hyperlink" Target="https://leetcode.com/problems/department-top-three-salaries/" TargetMode="External"/><Relationship Id="rId8" Type="http://schemas.openxmlformats.org/officeDocument/2006/relationships/hyperlink" Target="https://leetcode.com/problems/consecutive-numbers/" TargetMode="External"/><Relationship Id="rId31" Type="http://schemas.openxmlformats.org/officeDocument/2006/relationships/hyperlink" Target="https://leetcode.com/problems/fix-names-in-a-table/" TargetMode="External"/><Relationship Id="rId30" Type="http://schemas.openxmlformats.org/officeDocument/2006/relationships/hyperlink" Target="https://leetcode.com/problems/calculate-special-bonus/" TargetMode="External"/><Relationship Id="rId33" Type="http://schemas.openxmlformats.org/officeDocument/2006/relationships/hyperlink" Target="https://leetcode.com/problems/nth-highest-salary/" TargetMode="External"/><Relationship Id="rId32" Type="http://schemas.openxmlformats.org/officeDocument/2006/relationships/hyperlink" Target="https://leetcode.com/problems/patients-with-a-condition/" TargetMode="External"/><Relationship Id="rId35" Type="http://schemas.openxmlformats.org/officeDocument/2006/relationships/hyperlink" Target="https://leetcode.com/problems/department-highest-salary/" TargetMode="External"/><Relationship Id="rId34" Type="http://schemas.openxmlformats.org/officeDocument/2006/relationships/hyperlink" Target="https://leetcode.com/problems/second-highest-salary/" TargetMode="External"/><Relationship Id="rId37" Type="http://schemas.openxmlformats.org/officeDocument/2006/relationships/hyperlink" Target="https://leetcode.com/problems/delete-duplicate-emails/" TargetMode="External"/><Relationship Id="rId36" Type="http://schemas.openxmlformats.org/officeDocument/2006/relationships/hyperlink" Target="https://leetcode.com/problems/rank-scores/" TargetMode="External"/><Relationship Id="rId39" Type="http://schemas.openxmlformats.org/officeDocument/2006/relationships/hyperlink" Target="https://leetcode.com/problems/immediate-food-delivery-i/" TargetMode="External"/><Relationship Id="rId38" Type="http://schemas.openxmlformats.org/officeDocument/2006/relationships/hyperlink" Target="https://leetcode.com/problems/the-number-of-rich-customers/" TargetMode="External"/><Relationship Id="rId62" Type="http://schemas.openxmlformats.org/officeDocument/2006/relationships/hyperlink" Target="https://www.geeksforgeeks.org/pyplot-in-matplotlib/" TargetMode="External"/><Relationship Id="rId61" Type="http://schemas.openxmlformats.org/officeDocument/2006/relationships/hyperlink" Target="https://www.geeksforgeeks.org/python-introduction-matplotlib/" TargetMode="External"/><Relationship Id="rId20" Type="http://schemas.openxmlformats.org/officeDocument/2006/relationships/hyperlink" Target="https://leetcode.com/problems/game-play-analysis-ii/" TargetMode="External"/><Relationship Id="rId64" Type="http://schemas.openxmlformats.org/officeDocument/2006/relationships/hyperlink" Target="https://www.geeksforgeeks.org/how-to-create-multiple-subplots-in-matplotlib-in-python/" TargetMode="External"/><Relationship Id="rId63" Type="http://schemas.openxmlformats.org/officeDocument/2006/relationships/hyperlink" Target="https://www.geeksforgeeks.org/matplotlib-axes-class/" TargetMode="External"/><Relationship Id="rId22" Type="http://schemas.openxmlformats.org/officeDocument/2006/relationships/hyperlink" Target="https://leetcode.com/problems/shortest-distance-in-a-plane/" TargetMode="External"/><Relationship Id="rId66" Type="http://schemas.openxmlformats.org/officeDocument/2006/relationships/hyperlink" Target="https://www.geeksforgeeks.org/plotting-histogram-in-python-using-matplotlib/" TargetMode="External"/><Relationship Id="rId21" Type="http://schemas.openxmlformats.org/officeDocument/2006/relationships/hyperlink" Target="https://leetcode.com/problems/game-play-analysis-iii/" TargetMode="External"/><Relationship Id="rId65" Type="http://schemas.openxmlformats.org/officeDocument/2006/relationships/hyperlink" Target="https://www.geeksforgeeks.org/line-chart-in-matplotlib-python/" TargetMode="External"/><Relationship Id="rId24" Type="http://schemas.openxmlformats.org/officeDocument/2006/relationships/hyperlink" Target="https://leetcode.com/problems/customers-with-strictly-increasing-purchases/" TargetMode="External"/><Relationship Id="rId68" Type="http://schemas.openxmlformats.org/officeDocument/2006/relationships/hyperlink" Target="https://www.geeksforgeeks.org/plot-a-pie-chart-in-python-using-matplotlib/" TargetMode="External"/><Relationship Id="rId23" Type="http://schemas.openxmlformats.org/officeDocument/2006/relationships/hyperlink" Target="https://leetcode.com/problems/combine-two-tables/" TargetMode="External"/><Relationship Id="rId67" Type="http://schemas.openxmlformats.org/officeDocument/2006/relationships/hyperlink" Target="https://www.geeksforgeeks.org/matplotlib-pyplot-scatter-in-python/" TargetMode="External"/><Relationship Id="rId60" Type="http://schemas.openxmlformats.org/officeDocument/2006/relationships/hyperlink" Target="https://www.geeksforgeeks.org/pipelines-python-and-scikit-learn/" TargetMode="External"/><Relationship Id="rId26" Type="http://schemas.openxmlformats.org/officeDocument/2006/relationships/hyperlink" Target="https://leetcode.com/problems/recyclable-and-low-fat-products/" TargetMode="External"/><Relationship Id="rId25" Type="http://schemas.openxmlformats.org/officeDocument/2006/relationships/hyperlink" Target="https://leetcode.com/problems/big-countries/" TargetMode="External"/><Relationship Id="rId69" Type="http://schemas.openxmlformats.org/officeDocument/2006/relationships/drawing" Target="../drawings/drawing2.xml"/><Relationship Id="rId28" Type="http://schemas.openxmlformats.org/officeDocument/2006/relationships/hyperlink" Target="https://leetcode.com/problems/article-views-i/" TargetMode="External"/><Relationship Id="rId27" Type="http://schemas.openxmlformats.org/officeDocument/2006/relationships/hyperlink" Target="https://leetcode.com/problems/customers-who-never-order/" TargetMode="External"/><Relationship Id="rId29" Type="http://schemas.openxmlformats.org/officeDocument/2006/relationships/hyperlink" Target="https://leetcode.com/problems/invalid-tweets/" TargetMode="External"/><Relationship Id="rId51" Type="http://schemas.openxmlformats.org/officeDocument/2006/relationships/hyperlink" Target="https://leetcode.com/problems/managers-with-at-least-5-direct-reports/" TargetMode="External"/><Relationship Id="rId50" Type="http://schemas.openxmlformats.org/officeDocument/2006/relationships/hyperlink" Target="https://leetcode.com/problems/students-and-examinations/" TargetMode="External"/><Relationship Id="rId53" Type="http://schemas.openxmlformats.org/officeDocument/2006/relationships/hyperlink" Target="https://www.geeksforgeeks.org/save-and-load-machine-learning-models-in-python-with-scikit-learn/" TargetMode="External"/><Relationship Id="rId52" Type="http://schemas.openxmlformats.org/officeDocument/2006/relationships/hyperlink" Target="https://leetcode.com/problems/sales-person/" TargetMode="External"/><Relationship Id="rId11" Type="http://schemas.openxmlformats.org/officeDocument/2006/relationships/hyperlink" Target="https://leetcode.com/problems/dynamic-pivoting-of-a-table/" TargetMode="External"/><Relationship Id="rId55" Type="http://schemas.openxmlformats.org/officeDocument/2006/relationships/hyperlink" Target="https://www.geeksforgeeks.org/building-a-machine-learning-model-using-j48-classifier/" TargetMode="External"/><Relationship Id="rId10" Type="http://schemas.openxmlformats.org/officeDocument/2006/relationships/hyperlink" Target="https://leetcode.com/problems/user-activity-for-the-past-30-days-i/" TargetMode="External"/><Relationship Id="rId54" Type="http://schemas.openxmlformats.org/officeDocument/2006/relationships/hyperlink" Target="https://www.geeksforgeeks.org/data-preprocessing-analysis-and-visualization-for-building-a-machine-learning-model/" TargetMode="External"/><Relationship Id="rId13" Type="http://schemas.openxmlformats.org/officeDocument/2006/relationships/hyperlink" Target="https://leetcode.com/problems/league-statistics/" TargetMode="External"/><Relationship Id="rId57" Type="http://schemas.openxmlformats.org/officeDocument/2006/relationships/hyperlink" Target="https://www.geeksforgeeks.org/deploy-a-machine-learning-model-using-streamlit-library/" TargetMode="External"/><Relationship Id="rId12" Type="http://schemas.openxmlformats.org/officeDocument/2006/relationships/hyperlink" Target="https://leetcode.com/problems/the-number-of-seniors-and-juniors-to-join-the-company/" TargetMode="External"/><Relationship Id="rId56" Type="http://schemas.openxmlformats.org/officeDocument/2006/relationships/hyperlink" Target="https://www.geeksforgeeks.org/how-to-get-regression-model-summary-from-scikit-learn/" TargetMode="External"/><Relationship Id="rId15" Type="http://schemas.openxmlformats.org/officeDocument/2006/relationships/hyperlink" Target="https://leetcode.com/problems/friend-requests-ii-who-has-the-most-friends/" TargetMode="External"/><Relationship Id="rId59" Type="http://schemas.openxmlformats.org/officeDocument/2006/relationships/hyperlink" Target="https://www.geeksforgeeks.org/implementing-pca-in-python-with-scikit-learn/" TargetMode="External"/><Relationship Id="rId14" Type="http://schemas.openxmlformats.org/officeDocument/2006/relationships/hyperlink" Target="https://leetcode.com/problems/sales-person/" TargetMode="External"/><Relationship Id="rId58" Type="http://schemas.openxmlformats.org/officeDocument/2006/relationships/hyperlink" Target="https://www.geeksforgeeks.org/machine-learning-model-with-teachable-machine/" TargetMode="External"/><Relationship Id="rId17" Type="http://schemas.openxmlformats.org/officeDocument/2006/relationships/hyperlink" Target="https://leetcode.com/problems/students-report-by-geography/" TargetMode="External"/><Relationship Id="rId16" Type="http://schemas.openxmlformats.org/officeDocument/2006/relationships/hyperlink" Target="https://leetcode.com/problems/report-contiguous-dates/" TargetMode="External"/><Relationship Id="rId19" Type="http://schemas.openxmlformats.org/officeDocument/2006/relationships/hyperlink" Target="https://leetcode.com/problems/game-play-analysis-i/" TargetMode="External"/><Relationship Id="rId18" Type="http://schemas.openxmlformats.org/officeDocument/2006/relationships/hyperlink" Target="https://leetcode.com/problems/average-salary-departments-vs-compan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xor-of-two-numbers-in-an-array/" TargetMode="External"/><Relationship Id="rId42" Type="http://schemas.openxmlformats.org/officeDocument/2006/relationships/hyperlink" Target="https://leetcode.com/problems/longest-increasing-subsequence/" TargetMode="External"/><Relationship Id="rId41" Type="http://schemas.openxmlformats.org/officeDocument/2006/relationships/hyperlink" Target="https://leetcode.com/problems/maximum-xor-with-an-element-from-array/" TargetMode="External"/><Relationship Id="rId44" Type="http://schemas.openxmlformats.org/officeDocument/2006/relationships/hyperlink" Target="https://www.geeksforgeeks.org/dynamic-programming-building-bridges/" TargetMode="External"/><Relationship Id="rId43" Type="http://schemas.openxmlformats.org/officeDocument/2006/relationships/hyperlink" Target="https://leetcode.com/problems/longest-increasing-subsequence/" TargetMode="External"/><Relationship Id="rId46" Type="http://schemas.openxmlformats.org/officeDocument/2006/relationships/hyperlink" Target="https://www.lintcode.com/problem/paint-house/description" TargetMode="External"/><Relationship Id="rId45" Type="http://schemas.openxmlformats.org/officeDocument/2006/relationships/hyperlink" Target="https://practice.geeksforgeeks.org/problems/box-stacking/1" TargetMode="External"/><Relationship Id="rId80" Type="http://schemas.openxmlformats.org/officeDocument/2006/relationships/hyperlink" Target="https://practice.geeksforgeeks.org/problems/implementing-floyd-warshall/0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s://docs.google.com/spreadsheets/d/18CjQlTXihGuIr0LFbImDXdxBSGbH4MgQHa6DYX98-0g/edit?gid=0" TargetMode="External"/><Relationship Id="rId2" Type="http://schemas.openxmlformats.org/officeDocument/2006/relationships/hyperlink" Target="https://leetcode.com/problems/rotate-array/" TargetMode="External"/><Relationship Id="rId3" Type="http://schemas.openxmlformats.org/officeDocument/2006/relationships/hyperlink" Target="https://leetcode.com/problems/squares-of-a-sorted-array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container-with-most-water" TargetMode="External"/><Relationship Id="rId48" Type="http://schemas.openxmlformats.org/officeDocument/2006/relationships/hyperlink" Target="https://www.geeksforgeeks.org/count-possible-ways-to-construct-buildings/" TargetMode="External"/><Relationship Id="rId47" Type="http://schemas.openxmlformats.org/officeDocument/2006/relationships/hyperlink" Target="https://www.geeksforgeeks.org/count-number-binary-strings-without-consecutive-1s/" TargetMode="External"/><Relationship Id="rId49" Type="http://schemas.openxmlformats.org/officeDocument/2006/relationships/hyperlink" Target="https://www.geeksforgeeks.org/total-number-of-possible-binary-search-trees-with-n-keys/" TargetMode="External"/><Relationship Id="rId5" Type="http://schemas.openxmlformats.org/officeDocument/2006/relationships/hyperlink" Target="https://leetcode.com/problems/next-greater-element-iii" TargetMode="External"/><Relationship Id="rId6" Type="http://schemas.openxmlformats.org/officeDocument/2006/relationships/hyperlink" Target="https://leetcode.com/problems/max-chunks-to-make-sorted-ii" TargetMode="External"/><Relationship Id="rId7" Type="http://schemas.openxmlformats.org/officeDocument/2006/relationships/hyperlink" Target="https://www.lintcode.com/problem/range-addition/description" TargetMode="External"/><Relationship Id="rId8" Type="http://schemas.openxmlformats.org/officeDocument/2006/relationships/hyperlink" Target="https://leetcode.com/problems/trapping-rain-water/" TargetMode="External"/><Relationship Id="rId73" Type="http://schemas.openxmlformats.org/officeDocument/2006/relationships/hyperlink" Target="https://practice.geeksforgeeks.org/problems/mother-vertex/1" TargetMode="External"/><Relationship Id="rId72" Type="http://schemas.openxmlformats.org/officeDocument/2006/relationships/hyperlink" Target="https://practice.geeksforgeeks.org/problems/strongly-connected-components-kosarajus-algo/1" TargetMode="External"/><Relationship Id="rId31" Type="http://schemas.openxmlformats.org/officeDocument/2006/relationships/hyperlink" Target="https://www.geeksforgeeks.org/write-a-function-to-get-the-intersection-point-of-two-linked-lists/" TargetMode="External"/><Relationship Id="rId75" Type="http://schemas.openxmlformats.org/officeDocument/2006/relationships/hyperlink" Target="https://www.lintcode.com/en/old/problem/number-of-islands-ii/" TargetMode="External"/><Relationship Id="rId30" Type="http://schemas.openxmlformats.org/officeDocument/2006/relationships/hyperlink" Target="https://www.interviewbit.com/problems/allocate-books/" TargetMode="External"/><Relationship Id="rId74" Type="http://schemas.openxmlformats.org/officeDocument/2006/relationships/hyperlink" Target="https://www.geeksforgeeks.org/given-sorted-dictionary-find-precedence-characters/" TargetMode="External"/><Relationship Id="rId33" Type="http://schemas.openxmlformats.org/officeDocument/2006/relationships/hyperlink" Target="https://leetcode.com/problems/basic-calculator/" TargetMode="External"/><Relationship Id="rId77" Type="http://schemas.openxmlformats.org/officeDocument/2006/relationships/hyperlink" Target="https://medium.com/@rebeccahezhang/leetcode-737-sentence-similarity-ii-2ca213f10115" TargetMode="External"/><Relationship Id="rId32" Type="http://schemas.openxmlformats.org/officeDocument/2006/relationships/hyperlink" Target="https://leetcode.com/problems/next-greater-element-i/" TargetMode="External"/><Relationship Id="rId76" Type="http://schemas.openxmlformats.org/officeDocument/2006/relationships/hyperlink" Target="https://leetcode.com/problems/regions-cut-by-slashes" TargetMode="External"/><Relationship Id="rId35" Type="http://schemas.openxmlformats.org/officeDocument/2006/relationships/hyperlink" Target="https://practice.geeksforgeeks.org/problems/top-view-of-binary-tree/1" TargetMode="External"/><Relationship Id="rId79" Type="http://schemas.openxmlformats.org/officeDocument/2006/relationships/hyperlink" Target="https://leetcode.com/problems/sliding-puzzle" TargetMode="External"/><Relationship Id="rId34" Type="http://schemas.openxmlformats.org/officeDocument/2006/relationships/hyperlink" Target="https://www.geeksforgeeks.org/efficiently-implement-k-queues-single-array/" TargetMode="External"/><Relationship Id="rId78" Type="http://schemas.openxmlformats.org/officeDocument/2006/relationships/hyperlink" Target="https://leetcode.com/problems/redundant-connection" TargetMode="External"/><Relationship Id="rId71" Type="http://schemas.openxmlformats.org/officeDocument/2006/relationships/hyperlink" Target="https://leetcode.com/problems/swim-in-rising-water/" TargetMode="External"/><Relationship Id="rId70" Type="http://schemas.openxmlformats.org/officeDocument/2006/relationships/hyperlink" Target="https://leetcode.com/problems/rotting-oranges" TargetMode="External"/><Relationship Id="rId37" Type="http://schemas.openxmlformats.org/officeDocument/2006/relationships/hyperlink" Target="https://leetcode.com/problems/delete-node-in-a-bst/" TargetMode="External"/><Relationship Id="rId36" Type="http://schemas.openxmlformats.org/officeDocument/2006/relationships/hyperlink" Target="https://leetcode.com/problems/binary-tree-maximum-path-sum/" TargetMode="External"/><Relationship Id="rId39" Type="http://schemas.openxmlformats.org/officeDocument/2006/relationships/hyperlink" Target="https://leetcode.com/problems/implement-trie-prefix-tree/" TargetMode="External"/><Relationship Id="rId38" Type="http://schemas.openxmlformats.org/officeDocument/2006/relationships/hyperlink" Target="https://leetcode.com/problems/populating-next-right-pointers-in-each-node/" TargetMode="External"/><Relationship Id="rId62" Type="http://schemas.openxmlformats.org/officeDocument/2006/relationships/hyperlink" Target="https://leetcode.com/problems/edit-distance/" TargetMode="External"/><Relationship Id="rId61" Type="http://schemas.openxmlformats.org/officeDocument/2006/relationships/hyperlink" Target="https://leetcode.com/problems/frog-jump/" TargetMode="External"/><Relationship Id="rId20" Type="http://schemas.openxmlformats.org/officeDocument/2006/relationships/hyperlink" Target="https://leetcode.com/problems/divide-two-integers/" TargetMode="External"/><Relationship Id="rId64" Type="http://schemas.openxmlformats.org/officeDocument/2006/relationships/hyperlink" Target="https://www.geeksforgeeks.org/unbounded-knapsack-repetition-items-allowed/" TargetMode="External"/><Relationship Id="rId63" Type="http://schemas.openxmlformats.org/officeDocument/2006/relationships/hyperlink" Target="https://www.geeksforgeeks.org/0-1-knapsack-problem-dp-10/" TargetMode="External"/><Relationship Id="rId22" Type="http://schemas.openxmlformats.org/officeDocument/2006/relationships/hyperlink" Target="https://leetcode.com/problems/subarray-sum-equals-k/" TargetMode="External"/><Relationship Id="rId66" Type="http://schemas.openxmlformats.org/officeDocument/2006/relationships/hyperlink" Target="https://www.pepcoding.com/resources/online-java-foundation/dynamic-programming-and-greedy/coin-change-combination-official/ojquestion" TargetMode="External"/><Relationship Id="rId21" Type="http://schemas.openxmlformats.org/officeDocument/2006/relationships/hyperlink" Target="https://practice.geeksforgeeks.org/problems/maximum-and-value-1587115620/1" TargetMode="External"/><Relationship Id="rId65" Type="http://schemas.openxmlformats.org/officeDocument/2006/relationships/hyperlink" Target="https://www.geeksforgeeks.org/fractional-knapsack-problem/" TargetMode="External"/><Relationship Id="rId24" Type="http://schemas.openxmlformats.org/officeDocument/2006/relationships/hyperlink" Target="https://www.pepcoding.com/resources/online-java-foundation/hashmap-and-heap/hashmap-official/ojquestion" TargetMode="External"/><Relationship Id="rId68" Type="http://schemas.openxmlformats.org/officeDocument/2006/relationships/hyperlink" Target="https://leetcode.com/problems/number-of-islands" TargetMode="External"/><Relationship Id="rId23" Type="http://schemas.openxmlformats.org/officeDocument/2006/relationships/hyperlink" Target="https://leetcode.com/problems/subarray-sums-divisible-by-k/" TargetMode="External"/><Relationship Id="rId67" Type="http://schemas.openxmlformats.org/officeDocument/2006/relationships/hyperlink" Target="https://www.pepcoding.com/resources/online-java-foundation/dynamic-programming-and-greedy/coin-change-permutations-official/ojquestion" TargetMode="External"/><Relationship Id="rId60" Type="http://schemas.openxmlformats.org/officeDocument/2006/relationships/hyperlink" Target="https://leetcode.com/problems/palindrome-partitioning-ii/" TargetMode="External"/><Relationship Id="rId26" Type="http://schemas.openxmlformats.org/officeDocument/2006/relationships/hyperlink" Target="https://leetcode.com/problems/minimum-cost-to-connect-sticks/" TargetMode="External"/><Relationship Id="rId25" Type="http://schemas.openxmlformats.org/officeDocument/2006/relationships/hyperlink" Target="https://leetcode.com/problems/kth-largest-element-in-an-array/" TargetMode="External"/><Relationship Id="rId69" Type="http://schemas.openxmlformats.org/officeDocument/2006/relationships/hyperlink" Target="https://leetcode.com/problems/number-of-distinct-islands" TargetMode="External"/><Relationship Id="rId28" Type="http://schemas.openxmlformats.org/officeDocument/2006/relationships/hyperlink" Target="https://www.interviewbit.com/problems/painters-partition-problem/" TargetMode="External"/><Relationship Id="rId27" Type="http://schemas.openxmlformats.org/officeDocument/2006/relationships/hyperlink" Target="https://leetcode.com/problems/find-median-from-data-stream/" TargetMode="External"/><Relationship Id="rId29" Type="http://schemas.openxmlformats.org/officeDocument/2006/relationships/hyperlink" Target="https://leetcode.com/problems/search-in-rotated-sorted-array-ii/" TargetMode="External"/><Relationship Id="rId51" Type="http://schemas.openxmlformats.org/officeDocument/2006/relationships/hyperlink" Target="https://leetcode.com/problems/cherry-pickup/" TargetMode="External"/><Relationship Id="rId50" Type="http://schemas.openxmlformats.org/officeDocument/2006/relationships/hyperlink" Target="https://leetcode.com/problems/minimum-path-sum/" TargetMode="External"/><Relationship Id="rId53" Type="http://schemas.openxmlformats.org/officeDocument/2006/relationships/hyperlink" Target="https://leetcode.com/problems/best-time-to-buy-and-sell-stock-with-transaction-fee/" TargetMode="External"/><Relationship Id="rId52" Type="http://schemas.openxmlformats.org/officeDocument/2006/relationships/hyperlink" Target="https://leetcode.com/problems/cherry-pickup-ii/" TargetMode="External"/><Relationship Id="rId11" Type="http://schemas.openxmlformats.org/officeDocument/2006/relationships/hyperlink" Target="https://leetcode.com/problems/permutation-sequence/" TargetMode="External"/><Relationship Id="rId55" Type="http://schemas.openxmlformats.org/officeDocument/2006/relationships/hyperlink" Target="https://www.geeksforgeeks.org/matrix-chain-multiplication-dp-8/" TargetMode="External"/><Relationship Id="rId10" Type="http://schemas.openxmlformats.org/officeDocument/2006/relationships/hyperlink" Target="https://leetcode.com/problems/permutations/" TargetMode="External"/><Relationship Id="rId54" Type="http://schemas.openxmlformats.org/officeDocument/2006/relationships/hyperlink" Target="https://www.geeksforgeeks.org/optimal-binary-search-tree-dp-24/" TargetMode="External"/><Relationship Id="rId13" Type="http://schemas.openxmlformats.org/officeDocument/2006/relationships/hyperlink" Target="https://leetcode.com/problems/combination-sum-ii/" TargetMode="External"/><Relationship Id="rId57" Type="http://schemas.openxmlformats.org/officeDocument/2006/relationships/hyperlink" Target="https://www.geeksforgeeks.org/puzzle-set-35-2-eggs-and-100-floors/" TargetMode="External"/><Relationship Id="rId12" Type="http://schemas.openxmlformats.org/officeDocument/2006/relationships/hyperlink" Target="https://leetcode.com/problems/combination-sum/" TargetMode="External"/><Relationship Id="rId56" Type="http://schemas.openxmlformats.org/officeDocument/2006/relationships/hyperlink" Target="https://leetcode.com/problems/longest-common-subsequence/" TargetMode="External"/><Relationship Id="rId15" Type="http://schemas.openxmlformats.org/officeDocument/2006/relationships/hyperlink" Target="https://leetcode.com/problems/n-queens/" TargetMode="External"/><Relationship Id="rId5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leetcode.com/problems/letter-combinations-of-a-phone-number/" TargetMode="External"/><Relationship Id="rId58" Type="http://schemas.openxmlformats.org/officeDocument/2006/relationships/hyperlink" Target="https://www.geeksforgeeks.org/egg-dropping-puzzle-dp-11/" TargetMode="External"/><Relationship Id="rId17" Type="http://schemas.openxmlformats.org/officeDocument/2006/relationships/hyperlink" Target="https://leetcode.com/problems/single-number/" TargetMode="External"/><Relationship Id="rId16" Type="http://schemas.openxmlformats.org/officeDocument/2006/relationships/hyperlink" Target="https://practice.geeksforgeeks.org/problems/rat-in-a-maze-problem/1" TargetMode="External"/><Relationship Id="rId19" Type="http://schemas.openxmlformats.org/officeDocument/2006/relationships/hyperlink" Target="https://leetcode.com/problems/single-number-iii/" TargetMode="External"/><Relationship Id="rId18" Type="http://schemas.openxmlformats.org/officeDocument/2006/relationships/hyperlink" Target="https://leetcode.com/problems/single-number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47.75"/>
    <col customWidth="1" min="3" max="3" width="23.0"/>
    <col customWidth="1" min="4" max="4" width="17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6" t="s">
        <v>3</v>
      </c>
      <c r="B2" s="7" t="s">
        <v>4</v>
      </c>
      <c r="C2" s="6" t="s">
        <v>5</v>
      </c>
      <c r="D2" s="8"/>
      <c r="E2" s="8"/>
      <c r="F2" s="9"/>
    </row>
    <row r="3" ht="15.75" customHeight="1">
      <c r="A3" s="6" t="s">
        <v>6</v>
      </c>
      <c r="B3" s="7" t="s">
        <v>7</v>
      </c>
      <c r="C3" s="6" t="s">
        <v>8</v>
      </c>
      <c r="D3" s="8"/>
      <c r="E3" s="8"/>
      <c r="F3" s="9"/>
    </row>
    <row r="4" ht="15.75" customHeight="1">
      <c r="A4" s="6" t="s">
        <v>6</v>
      </c>
      <c r="B4" s="6" t="s">
        <v>9</v>
      </c>
      <c r="C4" s="6" t="s">
        <v>8</v>
      </c>
      <c r="D4" s="8"/>
      <c r="E4" s="8"/>
      <c r="F4" s="9"/>
    </row>
    <row r="5" ht="15.75" customHeight="1">
      <c r="A5" s="6" t="s">
        <v>10</v>
      </c>
      <c r="B5" s="6" t="s">
        <v>11</v>
      </c>
      <c r="C5" s="6" t="s">
        <v>12</v>
      </c>
      <c r="D5" s="8"/>
      <c r="E5" s="8"/>
      <c r="F5" s="9"/>
    </row>
    <row r="6" ht="15.75" customHeight="1">
      <c r="A6" s="6" t="s">
        <v>13</v>
      </c>
      <c r="B6" s="6" t="s">
        <v>14</v>
      </c>
      <c r="C6" s="6" t="s">
        <v>12</v>
      </c>
      <c r="D6" s="8"/>
      <c r="E6" s="8"/>
      <c r="F6" s="9"/>
    </row>
    <row r="7" ht="15.75" customHeight="1">
      <c r="A7" s="6" t="s">
        <v>15</v>
      </c>
      <c r="B7" s="6" t="s">
        <v>16</v>
      </c>
      <c r="C7" s="6" t="s">
        <v>17</v>
      </c>
      <c r="D7" s="8"/>
      <c r="E7" s="8"/>
      <c r="F7" s="9"/>
    </row>
    <row r="8" ht="15.75" customHeight="1">
      <c r="A8" s="6" t="s">
        <v>15</v>
      </c>
      <c r="B8" s="6" t="s">
        <v>18</v>
      </c>
      <c r="C8" s="6" t="s">
        <v>17</v>
      </c>
      <c r="D8" s="8"/>
      <c r="E8" s="8"/>
      <c r="F8" s="9"/>
    </row>
    <row r="9" ht="15.75" customHeight="1">
      <c r="A9" s="6" t="s">
        <v>15</v>
      </c>
      <c r="B9" s="6" t="s">
        <v>19</v>
      </c>
      <c r="C9" s="6" t="s">
        <v>17</v>
      </c>
      <c r="D9" s="8"/>
      <c r="E9" s="10"/>
      <c r="F9" s="9"/>
    </row>
    <row r="10" ht="15.75" customHeight="1">
      <c r="A10" s="6" t="s">
        <v>15</v>
      </c>
      <c r="B10" s="6" t="s">
        <v>20</v>
      </c>
      <c r="C10" s="6" t="s">
        <v>21</v>
      </c>
      <c r="D10" s="8"/>
      <c r="E10" s="10"/>
      <c r="F10" s="9"/>
    </row>
    <row r="11" ht="15.75" customHeight="1">
      <c r="A11" s="6" t="s">
        <v>15</v>
      </c>
      <c r="B11" s="6" t="s">
        <v>22</v>
      </c>
      <c r="C11" s="6" t="s">
        <v>21</v>
      </c>
      <c r="D11" s="8"/>
      <c r="E11" s="10"/>
      <c r="F11" s="9"/>
    </row>
    <row r="12" ht="15.75" customHeight="1">
      <c r="A12" s="6" t="s">
        <v>15</v>
      </c>
      <c r="B12" s="6" t="s">
        <v>23</v>
      </c>
      <c r="C12" s="6" t="s">
        <v>21</v>
      </c>
      <c r="D12" s="8"/>
      <c r="E12" s="8"/>
      <c r="F12" s="9"/>
    </row>
    <row r="13" ht="15.75" customHeight="1">
      <c r="A13" s="11" t="s">
        <v>24</v>
      </c>
      <c r="B13" s="11" t="s">
        <v>25</v>
      </c>
      <c r="C13" s="6"/>
      <c r="D13" s="8"/>
      <c r="E13" s="8"/>
      <c r="F13" s="9"/>
    </row>
    <row r="14" ht="15.75" customHeight="1">
      <c r="A14" s="11" t="s">
        <v>24</v>
      </c>
      <c r="B14" s="11" t="s">
        <v>26</v>
      </c>
      <c r="C14" s="6"/>
      <c r="D14" s="8"/>
      <c r="E14" s="8"/>
      <c r="F14" s="9"/>
    </row>
    <row r="15" ht="15.75" customHeight="1">
      <c r="A15" s="6" t="s">
        <v>27</v>
      </c>
      <c r="B15" s="6" t="s">
        <v>28</v>
      </c>
      <c r="C15" s="6" t="s">
        <v>29</v>
      </c>
      <c r="D15" s="8"/>
      <c r="E15" s="8"/>
      <c r="F15" s="9"/>
    </row>
    <row r="16" ht="15.75" customHeight="1">
      <c r="A16" s="6" t="s">
        <v>27</v>
      </c>
      <c r="B16" s="6" t="s">
        <v>30</v>
      </c>
      <c r="C16" s="6" t="s">
        <v>29</v>
      </c>
      <c r="D16" s="8"/>
      <c r="E16" s="8"/>
      <c r="F16" s="9"/>
    </row>
    <row r="17" ht="15.75" customHeight="1">
      <c r="A17" s="6" t="s">
        <v>27</v>
      </c>
      <c r="B17" s="6" t="s">
        <v>31</v>
      </c>
      <c r="C17" s="6" t="s">
        <v>29</v>
      </c>
      <c r="D17" s="8"/>
      <c r="E17" s="8"/>
      <c r="F17" s="9"/>
    </row>
    <row r="18" ht="15.75" customHeight="1">
      <c r="A18" s="6" t="s">
        <v>27</v>
      </c>
      <c r="B18" s="6" t="s">
        <v>32</v>
      </c>
      <c r="C18" s="6" t="s">
        <v>33</v>
      </c>
      <c r="D18" s="8"/>
      <c r="E18" s="8"/>
      <c r="F18" s="9"/>
    </row>
    <row r="19" ht="15.75" customHeight="1">
      <c r="A19" s="6" t="s">
        <v>27</v>
      </c>
      <c r="B19" s="6" t="s">
        <v>34</v>
      </c>
      <c r="C19" s="6" t="s">
        <v>33</v>
      </c>
      <c r="D19" s="8"/>
      <c r="E19" s="8"/>
      <c r="F19" s="9"/>
    </row>
    <row r="20" ht="15.75" customHeight="1">
      <c r="A20" s="6" t="s">
        <v>27</v>
      </c>
      <c r="B20" s="6" t="s">
        <v>35</v>
      </c>
      <c r="C20" s="6" t="s">
        <v>33</v>
      </c>
      <c r="D20" s="8"/>
      <c r="E20" s="8"/>
      <c r="F20" s="9"/>
    </row>
    <row r="21" ht="15.75" customHeight="1">
      <c r="A21" s="6" t="s">
        <v>36</v>
      </c>
      <c r="B21" s="6" t="s">
        <v>37</v>
      </c>
      <c r="C21" s="6" t="s">
        <v>38</v>
      </c>
      <c r="D21" s="8"/>
      <c r="E21" s="8"/>
      <c r="F21" s="9"/>
    </row>
    <row r="22" ht="15.75" customHeight="1">
      <c r="A22" s="6" t="s">
        <v>36</v>
      </c>
      <c r="B22" s="6" t="s">
        <v>39</v>
      </c>
      <c r="C22" s="6" t="s">
        <v>38</v>
      </c>
      <c r="D22" s="8"/>
      <c r="E22" s="8"/>
      <c r="F22" s="9"/>
    </row>
    <row r="23" ht="15.75" customHeight="1">
      <c r="A23" s="6" t="s">
        <v>36</v>
      </c>
      <c r="B23" s="6" t="s">
        <v>40</v>
      </c>
      <c r="C23" s="6" t="s">
        <v>41</v>
      </c>
      <c r="D23" s="8"/>
      <c r="E23" s="8"/>
      <c r="F23" s="9"/>
    </row>
    <row r="24" ht="15.75" customHeight="1">
      <c r="A24" s="6" t="s">
        <v>36</v>
      </c>
      <c r="B24" s="6" t="s">
        <v>42</v>
      </c>
      <c r="C24" s="6" t="s">
        <v>41</v>
      </c>
      <c r="D24" s="8"/>
      <c r="E24" s="8"/>
      <c r="F24" s="9"/>
    </row>
    <row r="25" ht="15.75" customHeight="1">
      <c r="A25" s="6" t="s">
        <v>36</v>
      </c>
      <c r="B25" s="12" t="s">
        <v>43</v>
      </c>
      <c r="C25" s="6" t="s">
        <v>44</v>
      </c>
      <c r="D25" s="8"/>
      <c r="E25" s="8"/>
      <c r="F25" s="9"/>
    </row>
    <row r="26" ht="15.75" customHeight="1">
      <c r="A26" s="6" t="s">
        <v>36</v>
      </c>
      <c r="B26" s="6" t="s">
        <v>45</v>
      </c>
      <c r="C26" s="6" t="s">
        <v>44</v>
      </c>
      <c r="D26" s="8"/>
      <c r="E26" s="8"/>
      <c r="F26" s="9"/>
    </row>
    <row r="27" ht="15.75" customHeight="1">
      <c r="A27" s="11" t="s">
        <v>24</v>
      </c>
      <c r="B27" s="11" t="s">
        <v>46</v>
      </c>
      <c r="C27" s="6"/>
      <c r="D27" s="8"/>
      <c r="E27" s="8"/>
      <c r="F27" s="9"/>
    </row>
    <row r="28" ht="15.75" customHeight="1">
      <c r="A28" s="11" t="s">
        <v>24</v>
      </c>
      <c r="B28" s="11" t="s">
        <v>47</v>
      </c>
      <c r="C28" s="6"/>
      <c r="D28" s="8"/>
      <c r="E28" s="8"/>
      <c r="F28" s="9"/>
    </row>
    <row r="29" ht="15.75" customHeight="1">
      <c r="A29" s="6" t="s">
        <v>48</v>
      </c>
      <c r="B29" s="7" t="s">
        <v>49</v>
      </c>
      <c r="C29" s="6" t="s">
        <v>50</v>
      </c>
      <c r="D29" s="8"/>
      <c r="E29" s="8"/>
      <c r="F29" s="9"/>
    </row>
    <row r="30" ht="15.75" customHeight="1">
      <c r="A30" s="6" t="s">
        <v>48</v>
      </c>
      <c r="B30" s="6" t="s">
        <v>51</v>
      </c>
      <c r="C30" s="6" t="s">
        <v>50</v>
      </c>
      <c r="D30" s="8"/>
      <c r="E30" s="8"/>
      <c r="F30" s="9"/>
    </row>
    <row r="31" ht="15.75" customHeight="1">
      <c r="A31" s="6" t="s">
        <v>48</v>
      </c>
      <c r="B31" s="6" t="s">
        <v>52</v>
      </c>
      <c r="C31" s="6" t="s">
        <v>50</v>
      </c>
      <c r="D31" s="8"/>
      <c r="E31" s="8"/>
      <c r="F31" s="9"/>
    </row>
    <row r="32" ht="15.75" customHeight="1">
      <c r="A32" s="6" t="s">
        <v>48</v>
      </c>
      <c r="B32" s="6" t="s">
        <v>53</v>
      </c>
      <c r="C32" s="6" t="s">
        <v>54</v>
      </c>
      <c r="D32" s="8"/>
      <c r="E32" s="8"/>
      <c r="F32" s="9"/>
    </row>
    <row r="33" ht="15.75" customHeight="1">
      <c r="A33" s="6" t="s">
        <v>48</v>
      </c>
      <c r="B33" s="6" t="s">
        <v>55</v>
      </c>
      <c r="C33" s="6" t="s">
        <v>54</v>
      </c>
      <c r="D33" s="8"/>
      <c r="E33" s="8"/>
      <c r="F33" s="9"/>
    </row>
    <row r="34" ht="15.75" customHeight="1">
      <c r="A34" s="6" t="s">
        <v>48</v>
      </c>
      <c r="B34" s="6" t="s">
        <v>56</v>
      </c>
      <c r="C34" s="6" t="s">
        <v>54</v>
      </c>
      <c r="D34" s="8"/>
      <c r="E34" s="8"/>
      <c r="F34" s="9"/>
    </row>
    <row r="35" ht="15.75" customHeight="1">
      <c r="A35" s="6" t="s">
        <v>57</v>
      </c>
      <c r="B35" s="6" t="s">
        <v>58</v>
      </c>
      <c r="C35" s="6" t="s">
        <v>59</v>
      </c>
      <c r="D35" s="8"/>
      <c r="E35" s="8"/>
      <c r="F35" s="9"/>
    </row>
    <row r="36" ht="15.75" customHeight="1">
      <c r="A36" s="6" t="s">
        <v>57</v>
      </c>
      <c r="B36" s="6" t="s">
        <v>60</v>
      </c>
      <c r="C36" s="6" t="s">
        <v>59</v>
      </c>
      <c r="D36" s="8"/>
      <c r="E36" s="8"/>
      <c r="F36" s="9"/>
    </row>
    <row r="37" ht="15.75" customHeight="1">
      <c r="A37" s="6" t="s">
        <v>57</v>
      </c>
      <c r="B37" s="6" t="s">
        <v>61</v>
      </c>
      <c r="C37" s="6" t="s">
        <v>59</v>
      </c>
      <c r="D37" s="8"/>
      <c r="E37" s="8"/>
      <c r="F37" s="9"/>
    </row>
    <row r="38" ht="15.75" customHeight="1">
      <c r="A38" s="6" t="s">
        <v>57</v>
      </c>
      <c r="B38" s="6" t="s">
        <v>62</v>
      </c>
      <c r="C38" s="6" t="s">
        <v>63</v>
      </c>
      <c r="D38" s="8"/>
      <c r="E38" s="8"/>
      <c r="F38" s="9"/>
    </row>
    <row r="39" ht="15.75" customHeight="1">
      <c r="A39" s="6" t="s">
        <v>57</v>
      </c>
      <c r="B39" s="6" t="s">
        <v>64</v>
      </c>
      <c r="C39" s="6" t="s">
        <v>63</v>
      </c>
      <c r="D39" s="8"/>
      <c r="E39" s="8"/>
      <c r="F39" s="9"/>
    </row>
    <row r="40" ht="15.75" customHeight="1">
      <c r="A40" s="6" t="s">
        <v>57</v>
      </c>
      <c r="B40" s="6" t="s">
        <v>65</v>
      </c>
      <c r="C40" s="6" t="s">
        <v>63</v>
      </c>
      <c r="D40" s="8"/>
      <c r="E40" s="8"/>
      <c r="F40" s="9"/>
    </row>
    <row r="41" ht="15.75" customHeight="1">
      <c r="A41" s="11" t="s">
        <v>66</v>
      </c>
      <c r="B41" s="11" t="s">
        <v>67</v>
      </c>
      <c r="C41" s="6"/>
      <c r="D41" s="8"/>
      <c r="E41" s="8"/>
      <c r="F41" s="9"/>
    </row>
    <row r="42" ht="15.75" customHeight="1">
      <c r="A42" s="11" t="s">
        <v>24</v>
      </c>
      <c r="B42" s="11" t="s">
        <v>68</v>
      </c>
      <c r="C42" s="6"/>
      <c r="D42" s="8"/>
      <c r="E42" s="8"/>
      <c r="F42" s="9"/>
    </row>
    <row r="43" ht="15.75" customHeight="1">
      <c r="A43" s="11" t="s">
        <v>24</v>
      </c>
      <c r="B43" s="11" t="s">
        <v>69</v>
      </c>
      <c r="C43" s="6"/>
      <c r="D43" s="8"/>
      <c r="E43" s="8"/>
      <c r="F43" s="9"/>
    </row>
    <row r="44" ht="15.75" customHeight="1">
      <c r="A44" s="6" t="s">
        <v>70</v>
      </c>
      <c r="B44" s="6" t="s">
        <v>71</v>
      </c>
      <c r="C44" s="6" t="s">
        <v>72</v>
      </c>
      <c r="D44" s="8"/>
      <c r="E44" s="8"/>
      <c r="F44" s="9"/>
    </row>
    <row r="45" ht="15.75" customHeight="1">
      <c r="A45" s="6" t="s">
        <v>70</v>
      </c>
      <c r="B45" s="6" t="s">
        <v>73</v>
      </c>
      <c r="C45" s="6" t="s">
        <v>72</v>
      </c>
      <c r="D45" s="8"/>
      <c r="E45" s="8"/>
      <c r="F45" s="9"/>
    </row>
    <row r="46" ht="15.75" customHeight="1">
      <c r="A46" s="6" t="s">
        <v>70</v>
      </c>
      <c r="B46" s="7" t="s">
        <v>74</v>
      </c>
      <c r="C46" s="6" t="s">
        <v>75</v>
      </c>
      <c r="D46" s="8"/>
      <c r="E46" s="8"/>
      <c r="F46" s="9"/>
    </row>
    <row r="47" ht="15.75" customHeight="1">
      <c r="A47" s="6" t="s">
        <v>76</v>
      </c>
      <c r="B47" s="6" t="s">
        <v>77</v>
      </c>
      <c r="C47" s="6" t="s">
        <v>75</v>
      </c>
      <c r="D47" s="8"/>
      <c r="E47" s="8"/>
      <c r="F47" s="9"/>
    </row>
    <row r="48" ht="15.75" customHeight="1">
      <c r="A48" s="6" t="s">
        <v>76</v>
      </c>
      <c r="B48" s="6" t="s">
        <v>78</v>
      </c>
      <c r="C48" s="6" t="s">
        <v>79</v>
      </c>
      <c r="D48" s="8"/>
      <c r="E48" s="8"/>
      <c r="F48" s="9"/>
    </row>
    <row r="49" ht="15.75" customHeight="1">
      <c r="A49" s="6" t="s">
        <v>76</v>
      </c>
      <c r="B49" s="6" t="s">
        <v>80</v>
      </c>
      <c r="C49" s="6" t="s">
        <v>79</v>
      </c>
      <c r="D49" s="8"/>
      <c r="E49" s="8"/>
      <c r="F49" s="9"/>
    </row>
    <row r="50" ht="15.75" customHeight="1">
      <c r="A50" s="6" t="s">
        <v>81</v>
      </c>
      <c r="B50" s="6" t="s">
        <v>82</v>
      </c>
      <c r="C50" s="6" t="s">
        <v>83</v>
      </c>
      <c r="D50" s="8"/>
      <c r="E50" s="8"/>
      <c r="F50" s="9"/>
    </row>
    <row r="51" ht="15.75" customHeight="1">
      <c r="A51" s="6" t="s">
        <v>81</v>
      </c>
      <c r="B51" s="6" t="s">
        <v>84</v>
      </c>
      <c r="C51" s="6" t="s">
        <v>83</v>
      </c>
      <c r="D51" s="8"/>
      <c r="E51" s="8"/>
      <c r="F51" s="9"/>
    </row>
    <row r="52" ht="15.75" customHeight="1">
      <c r="A52" s="6" t="s">
        <v>81</v>
      </c>
      <c r="B52" s="6" t="s">
        <v>85</v>
      </c>
      <c r="C52" s="6" t="s">
        <v>83</v>
      </c>
      <c r="D52" s="8"/>
      <c r="E52" s="8"/>
      <c r="F52" s="9"/>
    </row>
    <row r="53" ht="15.75" customHeight="1">
      <c r="A53" s="6" t="s">
        <v>76</v>
      </c>
      <c r="B53" s="6" t="s">
        <v>86</v>
      </c>
      <c r="C53" s="6" t="s">
        <v>87</v>
      </c>
      <c r="D53" s="8"/>
      <c r="E53" s="8"/>
      <c r="F53" s="9"/>
    </row>
    <row r="54" ht="15.75" customHeight="1">
      <c r="A54" s="6" t="s">
        <v>81</v>
      </c>
      <c r="B54" s="6" t="s">
        <v>88</v>
      </c>
      <c r="C54" s="6" t="s">
        <v>87</v>
      </c>
      <c r="D54" s="8"/>
      <c r="E54" s="8"/>
      <c r="F54" s="9"/>
    </row>
    <row r="55" ht="15.75" customHeight="1">
      <c r="A55" s="6" t="s">
        <v>81</v>
      </c>
      <c r="B55" s="6" t="s">
        <v>89</v>
      </c>
      <c r="C55" s="6" t="s">
        <v>87</v>
      </c>
      <c r="D55" s="8"/>
      <c r="E55" s="8"/>
      <c r="F55" s="9"/>
    </row>
    <row r="56" ht="15.75" customHeight="1">
      <c r="A56" s="7" t="s">
        <v>81</v>
      </c>
      <c r="B56" s="6" t="s">
        <v>90</v>
      </c>
      <c r="C56" s="6" t="s">
        <v>87</v>
      </c>
      <c r="D56" s="8"/>
      <c r="E56" s="8"/>
      <c r="F56" s="9"/>
    </row>
    <row r="57" ht="15.75" customHeight="1">
      <c r="A57" s="13" t="s">
        <v>24</v>
      </c>
      <c r="B57" s="11" t="s">
        <v>91</v>
      </c>
      <c r="C57" s="6"/>
      <c r="D57" s="8"/>
      <c r="E57" s="8"/>
      <c r="F57" s="9"/>
    </row>
    <row r="58" ht="15.75" customHeight="1">
      <c r="A58" s="11" t="s">
        <v>24</v>
      </c>
      <c r="B58" s="11" t="s">
        <v>92</v>
      </c>
      <c r="C58" s="6"/>
      <c r="D58" s="8"/>
      <c r="E58" s="8"/>
      <c r="F58" s="9"/>
    </row>
    <row r="59" ht="15.75" customHeight="1">
      <c r="A59" s="6" t="s">
        <v>93</v>
      </c>
      <c r="B59" s="6" t="s">
        <v>94</v>
      </c>
      <c r="C59" s="6" t="s">
        <v>95</v>
      </c>
      <c r="D59" s="8"/>
      <c r="E59" s="8"/>
      <c r="F59" s="9"/>
    </row>
    <row r="60" ht="15.75" customHeight="1">
      <c r="A60" s="6" t="s">
        <v>96</v>
      </c>
      <c r="B60" s="6" t="s">
        <v>97</v>
      </c>
      <c r="C60" s="6" t="s">
        <v>95</v>
      </c>
      <c r="D60" s="8"/>
      <c r="E60" s="8"/>
      <c r="F60" s="9"/>
    </row>
    <row r="61" ht="15.75" customHeight="1">
      <c r="A61" s="7" t="s">
        <v>93</v>
      </c>
      <c r="B61" s="6" t="s">
        <v>98</v>
      </c>
      <c r="C61" s="6" t="s">
        <v>95</v>
      </c>
      <c r="D61" s="8"/>
      <c r="E61" s="8"/>
      <c r="F61" s="9"/>
    </row>
    <row r="62" ht="15.75" customHeight="1">
      <c r="A62" s="7" t="s">
        <v>93</v>
      </c>
      <c r="B62" s="6" t="s">
        <v>99</v>
      </c>
      <c r="C62" s="6" t="s">
        <v>100</v>
      </c>
      <c r="D62" s="8"/>
      <c r="E62" s="8"/>
      <c r="F62" s="9"/>
    </row>
    <row r="63" ht="15.75" customHeight="1">
      <c r="A63" s="7" t="s">
        <v>93</v>
      </c>
      <c r="B63" s="6" t="s">
        <v>101</v>
      </c>
      <c r="C63" s="6" t="s">
        <v>100</v>
      </c>
      <c r="D63" s="8"/>
      <c r="E63" s="8"/>
      <c r="F63" s="9"/>
    </row>
    <row r="64" ht="15.75" customHeight="1">
      <c r="A64" s="7" t="s">
        <v>93</v>
      </c>
      <c r="B64" s="6" t="s">
        <v>102</v>
      </c>
      <c r="C64" s="6" t="s">
        <v>100</v>
      </c>
      <c r="D64" s="8"/>
      <c r="E64" s="8"/>
      <c r="F64" s="9"/>
    </row>
    <row r="65" ht="15.75" customHeight="1">
      <c r="A65" s="7" t="s">
        <v>103</v>
      </c>
      <c r="B65" s="6" t="s">
        <v>104</v>
      </c>
      <c r="C65" s="6" t="s">
        <v>105</v>
      </c>
      <c r="D65" s="8"/>
      <c r="E65" s="8"/>
      <c r="F65" s="9"/>
    </row>
    <row r="66" ht="15.75" customHeight="1">
      <c r="A66" s="7" t="s">
        <v>96</v>
      </c>
      <c r="B66" s="6" t="s">
        <v>106</v>
      </c>
      <c r="C66" s="6" t="s">
        <v>105</v>
      </c>
      <c r="D66" s="8"/>
      <c r="E66" s="8"/>
      <c r="F66" s="9"/>
    </row>
    <row r="67" ht="15.75" customHeight="1">
      <c r="A67" s="7" t="s">
        <v>103</v>
      </c>
      <c r="B67" s="6" t="s">
        <v>107</v>
      </c>
      <c r="C67" s="6" t="s">
        <v>108</v>
      </c>
      <c r="D67" s="8"/>
      <c r="E67" s="8"/>
      <c r="F67" s="9"/>
    </row>
    <row r="68" ht="15.75" customHeight="1">
      <c r="A68" s="7" t="s">
        <v>103</v>
      </c>
      <c r="B68" s="6" t="s">
        <v>109</v>
      </c>
      <c r="C68" s="6" t="s">
        <v>108</v>
      </c>
      <c r="D68" s="8"/>
      <c r="E68" s="8"/>
      <c r="F68" s="9"/>
    </row>
    <row r="69" ht="15.75" customHeight="1">
      <c r="A69" s="13" t="s">
        <v>24</v>
      </c>
      <c r="B69" s="11" t="s">
        <v>110</v>
      </c>
      <c r="C69" s="6"/>
      <c r="D69" s="8"/>
      <c r="E69" s="8"/>
      <c r="F69" s="9"/>
    </row>
    <row r="70" ht="15.75" customHeight="1">
      <c r="A70" s="11" t="s">
        <v>24</v>
      </c>
      <c r="B70" s="11" t="s">
        <v>111</v>
      </c>
      <c r="C70" s="6"/>
      <c r="D70" s="8"/>
      <c r="E70" s="8"/>
      <c r="F70" s="9"/>
    </row>
    <row r="71" ht="15.75" customHeight="1">
      <c r="A71" s="7" t="s">
        <v>112</v>
      </c>
      <c r="B71" s="6" t="s">
        <v>113</v>
      </c>
      <c r="C71" s="6" t="s">
        <v>114</v>
      </c>
      <c r="D71" s="8"/>
      <c r="E71" s="14"/>
      <c r="F71" s="9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7" t="s">
        <v>112</v>
      </c>
      <c r="B72" s="6" t="s">
        <v>115</v>
      </c>
      <c r="C72" s="6" t="s">
        <v>114</v>
      </c>
      <c r="D72" s="8"/>
      <c r="E72" s="14"/>
      <c r="F72" s="9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5.75" customHeight="1">
      <c r="A73" s="7" t="s">
        <v>112</v>
      </c>
      <c r="B73" s="6" t="s">
        <v>116</v>
      </c>
      <c r="C73" s="6" t="s">
        <v>117</v>
      </c>
      <c r="D73" s="8"/>
      <c r="E73" s="8"/>
      <c r="F73" s="9"/>
    </row>
    <row r="74" ht="15.75" customHeight="1">
      <c r="A74" s="7" t="s">
        <v>112</v>
      </c>
      <c r="B74" s="7" t="s">
        <v>118</v>
      </c>
      <c r="C74" s="6" t="s">
        <v>117</v>
      </c>
      <c r="D74" s="8"/>
      <c r="E74" s="8"/>
      <c r="F74" s="9"/>
    </row>
    <row r="75" ht="15.75" customHeight="1">
      <c r="A75" s="7" t="s">
        <v>112</v>
      </c>
      <c r="B75" s="6" t="s">
        <v>119</v>
      </c>
      <c r="C75" s="6" t="s">
        <v>120</v>
      </c>
      <c r="D75" s="8"/>
      <c r="E75" s="8"/>
      <c r="F75" s="9"/>
    </row>
    <row r="76" ht="15.75" customHeight="1">
      <c r="A76" s="6" t="s">
        <v>112</v>
      </c>
      <c r="B76" s="6" t="s">
        <v>121</v>
      </c>
      <c r="C76" s="6" t="s">
        <v>120</v>
      </c>
      <c r="D76" s="8"/>
      <c r="E76" s="8"/>
      <c r="F76" s="9"/>
    </row>
    <row r="77" ht="15.75" customHeight="1">
      <c r="A77" s="6" t="s">
        <v>122</v>
      </c>
      <c r="B77" s="6" t="s">
        <v>123</v>
      </c>
      <c r="C77" s="6" t="s">
        <v>124</v>
      </c>
      <c r="D77" s="8"/>
      <c r="E77" s="8"/>
      <c r="F77" s="9"/>
    </row>
    <row r="78" ht="15.75" customHeight="1">
      <c r="A78" s="6" t="s">
        <v>122</v>
      </c>
      <c r="B78" s="6" t="s">
        <v>125</v>
      </c>
      <c r="C78" s="6" t="s">
        <v>124</v>
      </c>
      <c r="D78" s="8"/>
      <c r="E78" s="8"/>
      <c r="F78" s="9"/>
    </row>
    <row r="79" ht="15.75" customHeight="1">
      <c r="A79" s="6" t="s">
        <v>122</v>
      </c>
      <c r="B79" s="6" t="s">
        <v>126</v>
      </c>
      <c r="C79" s="6" t="s">
        <v>124</v>
      </c>
      <c r="D79" s="8"/>
      <c r="E79" s="8"/>
      <c r="F79" s="9"/>
    </row>
    <row r="80" ht="15.75" customHeight="1">
      <c r="A80" s="7" t="s">
        <v>10</v>
      </c>
      <c r="B80" s="6" t="s">
        <v>127</v>
      </c>
      <c r="C80" s="6" t="s">
        <v>128</v>
      </c>
      <c r="D80" s="8"/>
      <c r="E80" s="8"/>
      <c r="F80" s="9"/>
    </row>
    <row r="81" ht="15.75" customHeight="1">
      <c r="A81" s="6" t="s">
        <v>6</v>
      </c>
      <c r="B81" s="6" t="s">
        <v>129</v>
      </c>
      <c r="C81" s="6" t="s">
        <v>128</v>
      </c>
      <c r="D81" s="8"/>
      <c r="E81" s="8"/>
      <c r="F81" s="9"/>
    </row>
    <row r="82" ht="15.75" customHeight="1">
      <c r="A82" s="13" t="s">
        <v>24</v>
      </c>
      <c r="B82" s="11" t="s">
        <v>130</v>
      </c>
      <c r="C82" s="6"/>
      <c r="D82" s="8"/>
      <c r="E82" s="8"/>
      <c r="F82" s="9"/>
    </row>
    <row r="83" ht="15.75" customHeight="1">
      <c r="A83" s="13" t="s">
        <v>24</v>
      </c>
      <c r="B83" s="11" t="s">
        <v>131</v>
      </c>
      <c r="C83" s="6"/>
      <c r="D83" s="8"/>
      <c r="E83" s="8"/>
      <c r="F83" s="9"/>
    </row>
    <row r="84" ht="15.75" customHeight="1">
      <c r="A84" s="7" t="s">
        <v>132</v>
      </c>
      <c r="B84" s="6" t="s">
        <v>133</v>
      </c>
      <c r="C84" s="6" t="s">
        <v>134</v>
      </c>
      <c r="D84" s="8"/>
      <c r="E84" s="8"/>
      <c r="F84" s="9"/>
    </row>
    <row r="85" ht="15.75" customHeight="1">
      <c r="A85" s="7" t="s">
        <v>132</v>
      </c>
      <c r="B85" s="6" t="s">
        <v>135</v>
      </c>
      <c r="C85" s="6" t="s">
        <v>134</v>
      </c>
      <c r="D85" s="8"/>
      <c r="E85" s="8"/>
      <c r="F85" s="9"/>
    </row>
    <row r="86" ht="15.75" customHeight="1">
      <c r="A86" s="7" t="s">
        <v>136</v>
      </c>
      <c r="B86" s="6" t="s">
        <v>137</v>
      </c>
      <c r="C86" s="6" t="s">
        <v>138</v>
      </c>
      <c r="D86" s="8"/>
      <c r="E86" s="8"/>
      <c r="F86" s="9"/>
    </row>
    <row r="87" ht="15.75" customHeight="1">
      <c r="A87" s="7" t="s">
        <v>6</v>
      </c>
      <c r="B87" s="6" t="s">
        <v>139</v>
      </c>
      <c r="C87" s="6" t="s">
        <v>138</v>
      </c>
      <c r="D87" s="8"/>
      <c r="E87" s="8"/>
      <c r="F87" s="9"/>
    </row>
    <row r="88" ht="15.75" customHeight="1">
      <c r="A88" s="7" t="s">
        <v>15</v>
      </c>
      <c r="B88" s="6" t="s">
        <v>140</v>
      </c>
      <c r="C88" s="6" t="s">
        <v>141</v>
      </c>
      <c r="D88" s="8"/>
      <c r="E88" s="8"/>
      <c r="F88" s="9"/>
    </row>
    <row r="89" ht="15.75" customHeight="1">
      <c r="A89" s="7" t="s">
        <v>15</v>
      </c>
      <c r="B89" s="6" t="s">
        <v>142</v>
      </c>
      <c r="C89" s="6" t="s">
        <v>141</v>
      </c>
      <c r="D89" s="8"/>
      <c r="E89" s="8"/>
      <c r="F89" s="9"/>
    </row>
    <row r="90" ht="15.75" customHeight="1">
      <c r="A90" s="7" t="s">
        <v>143</v>
      </c>
      <c r="B90" s="6" t="s">
        <v>144</v>
      </c>
      <c r="C90" s="6" t="s">
        <v>141</v>
      </c>
      <c r="D90" s="8"/>
      <c r="E90" s="8"/>
      <c r="F90" s="9"/>
    </row>
    <row r="91" ht="15.75" customHeight="1">
      <c r="A91" s="7" t="s">
        <v>15</v>
      </c>
      <c r="B91" s="6" t="s">
        <v>145</v>
      </c>
      <c r="C91" s="6" t="s">
        <v>146</v>
      </c>
      <c r="D91" s="8"/>
      <c r="E91" s="8"/>
      <c r="F91" s="9"/>
    </row>
    <row r="92" ht="15.75" customHeight="1">
      <c r="A92" s="7" t="s">
        <v>15</v>
      </c>
      <c r="B92" s="6" t="s">
        <v>147</v>
      </c>
      <c r="C92" s="6" t="s">
        <v>146</v>
      </c>
      <c r="D92" s="8"/>
      <c r="E92" s="8"/>
      <c r="F92" s="9"/>
    </row>
    <row r="93" ht="15.75" customHeight="1">
      <c r="A93" s="7" t="s">
        <v>15</v>
      </c>
      <c r="B93" s="6" t="s">
        <v>148</v>
      </c>
      <c r="C93" s="6" t="s">
        <v>146</v>
      </c>
      <c r="D93" s="8"/>
      <c r="E93" s="8"/>
      <c r="F93" s="9"/>
    </row>
    <row r="94" ht="15.75" customHeight="1">
      <c r="A94" s="13" t="s">
        <v>24</v>
      </c>
      <c r="B94" s="11" t="s">
        <v>149</v>
      </c>
      <c r="C94" s="6"/>
      <c r="D94" s="8"/>
      <c r="E94" s="8"/>
      <c r="F94" s="9"/>
    </row>
    <row r="95" ht="15.75" customHeight="1">
      <c r="A95" s="11" t="s">
        <v>24</v>
      </c>
      <c r="B95" s="11" t="s">
        <v>25</v>
      </c>
      <c r="C95" s="6"/>
      <c r="D95" s="8"/>
      <c r="E95" s="8"/>
      <c r="F95" s="9"/>
    </row>
    <row r="96" ht="15.75" customHeight="1">
      <c r="A96" s="6" t="s">
        <v>150</v>
      </c>
      <c r="B96" s="6" t="s">
        <v>151</v>
      </c>
      <c r="C96" s="6" t="s">
        <v>152</v>
      </c>
      <c r="D96" s="8"/>
      <c r="E96" s="8"/>
      <c r="F96" s="9"/>
    </row>
    <row r="97" ht="15.75" customHeight="1">
      <c r="A97" s="6" t="s">
        <v>153</v>
      </c>
      <c r="B97" s="6" t="s">
        <v>154</v>
      </c>
      <c r="C97" s="6" t="s">
        <v>152</v>
      </c>
      <c r="D97" s="8"/>
      <c r="E97" s="8"/>
      <c r="F97" s="9"/>
    </row>
    <row r="98" ht="15.75" customHeight="1">
      <c r="A98" s="6" t="s">
        <v>155</v>
      </c>
      <c r="B98" s="6" t="s">
        <v>156</v>
      </c>
      <c r="C98" s="6" t="s">
        <v>157</v>
      </c>
      <c r="D98" s="8"/>
      <c r="E98" s="8"/>
      <c r="F98" s="9"/>
    </row>
    <row r="99" ht="15.75" customHeight="1">
      <c r="A99" s="7" t="s">
        <v>158</v>
      </c>
      <c r="B99" s="6" t="s">
        <v>159</v>
      </c>
      <c r="C99" s="6" t="s">
        <v>157</v>
      </c>
      <c r="D99" s="8"/>
      <c r="E99" s="8"/>
      <c r="F99" s="9"/>
    </row>
    <row r="100" ht="15.75" customHeight="1">
      <c r="A100" s="7" t="s">
        <v>160</v>
      </c>
      <c r="B100" s="6" t="s">
        <v>161</v>
      </c>
      <c r="C100" s="6" t="s">
        <v>162</v>
      </c>
      <c r="D100" s="8"/>
      <c r="E100" s="8"/>
      <c r="F100" s="9"/>
    </row>
    <row r="101" ht="15.75" customHeight="1">
      <c r="A101" s="6" t="s">
        <v>155</v>
      </c>
      <c r="B101" s="6" t="s">
        <v>163</v>
      </c>
      <c r="C101" s="6" t="s">
        <v>162</v>
      </c>
      <c r="D101" s="8"/>
      <c r="E101" s="8"/>
      <c r="F101" s="9"/>
    </row>
    <row r="102" ht="15.75" customHeight="1">
      <c r="A102" s="6" t="s">
        <v>164</v>
      </c>
      <c r="B102" s="6" t="s">
        <v>165</v>
      </c>
      <c r="C102" s="6" t="s">
        <v>166</v>
      </c>
      <c r="D102" s="8"/>
      <c r="E102" s="8"/>
      <c r="F102" s="9"/>
    </row>
    <row r="103" ht="15.75" customHeight="1">
      <c r="A103" s="6" t="s">
        <v>164</v>
      </c>
      <c r="B103" s="6" t="s">
        <v>167</v>
      </c>
      <c r="C103" s="6" t="s">
        <v>166</v>
      </c>
      <c r="D103" s="8"/>
      <c r="E103" s="8"/>
      <c r="F103" s="9"/>
    </row>
    <row r="104" ht="15.75" customHeight="1">
      <c r="A104" s="6" t="s">
        <v>164</v>
      </c>
      <c r="B104" s="6" t="s">
        <v>168</v>
      </c>
      <c r="C104" s="6" t="s">
        <v>166</v>
      </c>
      <c r="D104" s="8"/>
      <c r="E104" s="8"/>
      <c r="F104" s="9"/>
    </row>
    <row r="105" ht="15.75" customHeight="1">
      <c r="A105" s="6" t="s">
        <v>164</v>
      </c>
      <c r="B105" s="6" t="s">
        <v>169</v>
      </c>
      <c r="C105" s="6" t="s">
        <v>170</v>
      </c>
      <c r="D105" s="8"/>
      <c r="E105" s="8"/>
      <c r="F105" s="9"/>
    </row>
    <row r="106" ht="15.75" customHeight="1">
      <c r="A106" s="6" t="s">
        <v>164</v>
      </c>
      <c r="B106" s="6" t="s">
        <v>171</v>
      </c>
      <c r="C106" s="6" t="s">
        <v>170</v>
      </c>
      <c r="D106" s="8"/>
      <c r="E106" s="8"/>
      <c r="F106" s="9"/>
    </row>
    <row r="107" ht="15.75" customHeight="1">
      <c r="A107" s="6" t="s">
        <v>164</v>
      </c>
      <c r="B107" s="6" t="s">
        <v>172</v>
      </c>
      <c r="C107" s="6" t="s">
        <v>170</v>
      </c>
      <c r="D107" s="8"/>
      <c r="E107" s="8"/>
      <c r="F107" s="9"/>
    </row>
    <row r="108" ht="15.75" customHeight="1">
      <c r="A108" s="11" t="s">
        <v>24</v>
      </c>
      <c r="B108" s="11" t="s">
        <v>173</v>
      </c>
      <c r="C108" s="6"/>
      <c r="D108" s="8"/>
      <c r="E108" s="8"/>
      <c r="F108" s="9"/>
    </row>
    <row r="109" ht="15.75" customHeight="1">
      <c r="A109" s="11" t="s">
        <v>24</v>
      </c>
      <c r="B109" s="11" t="s">
        <v>174</v>
      </c>
      <c r="C109" s="6"/>
      <c r="D109" s="8"/>
      <c r="E109" s="8"/>
      <c r="F109" s="9"/>
    </row>
    <row r="110" ht="15.75" customHeight="1">
      <c r="A110" s="6" t="s">
        <v>36</v>
      </c>
      <c r="B110" s="6" t="s">
        <v>175</v>
      </c>
      <c r="C110" s="6" t="s">
        <v>176</v>
      </c>
      <c r="D110" s="8"/>
      <c r="E110" s="8"/>
      <c r="F110" s="9"/>
    </row>
    <row r="111" ht="15.75" customHeight="1">
      <c r="A111" s="6" t="s">
        <v>36</v>
      </c>
      <c r="B111" s="6" t="s">
        <v>177</v>
      </c>
      <c r="C111" s="6" t="s">
        <v>176</v>
      </c>
      <c r="D111" s="8"/>
      <c r="E111" s="8"/>
      <c r="F111" s="9"/>
    </row>
    <row r="112" ht="15.75" customHeight="1">
      <c r="A112" s="6" t="s">
        <v>178</v>
      </c>
      <c r="B112" s="7" t="s">
        <v>179</v>
      </c>
      <c r="C112" s="6" t="s">
        <v>180</v>
      </c>
      <c r="D112" s="8"/>
      <c r="E112" s="8"/>
      <c r="F112" s="9"/>
    </row>
    <row r="113" ht="15.75" customHeight="1">
      <c r="A113" s="6" t="s">
        <v>36</v>
      </c>
      <c r="B113" s="6" t="s">
        <v>181</v>
      </c>
      <c r="C113" s="6" t="s">
        <v>180</v>
      </c>
      <c r="D113" s="8"/>
      <c r="E113" s="8"/>
      <c r="F113" s="9"/>
    </row>
    <row r="114" ht="15.75" customHeight="1">
      <c r="A114" s="6" t="s">
        <v>182</v>
      </c>
      <c r="B114" s="6" t="s">
        <v>183</v>
      </c>
      <c r="C114" s="6" t="s">
        <v>184</v>
      </c>
      <c r="D114" s="8"/>
      <c r="E114" s="8"/>
      <c r="F114" s="9"/>
    </row>
    <row r="115" ht="15.75" customHeight="1">
      <c r="A115" s="6" t="s">
        <v>81</v>
      </c>
      <c r="B115" s="6" t="s">
        <v>185</v>
      </c>
      <c r="C115" s="6" t="s">
        <v>184</v>
      </c>
      <c r="D115" s="8"/>
      <c r="E115" s="8"/>
      <c r="F115" s="9"/>
    </row>
    <row r="116" ht="15.75" customHeight="1">
      <c r="A116" s="6" t="s">
        <v>186</v>
      </c>
      <c r="B116" s="6" t="s">
        <v>187</v>
      </c>
      <c r="C116" s="6" t="s">
        <v>188</v>
      </c>
      <c r="D116" s="8"/>
      <c r="E116" s="8"/>
      <c r="F116" s="9"/>
    </row>
    <row r="117" ht="15.75" customHeight="1">
      <c r="A117" s="6" t="s">
        <v>186</v>
      </c>
      <c r="B117" s="6" t="s">
        <v>189</v>
      </c>
      <c r="C117" s="6" t="s">
        <v>188</v>
      </c>
      <c r="D117" s="8"/>
      <c r="E117" s="8"/>
      <c r="F117" s="9"/>
    </row>
    <row r="118" ht="15.75" customHeight="1">
      <c r="A118" s="11" t="s">
        <v>66</v>
      </c>
      <c r="B118" s="11" t="s">
        <v>190</v>
      </c>
      <c r="C118" s="6"/>
      <c r="D118" s="8"/>
      <c r="E118" s="8"/>
      <c r="F118" s="9"/>
    </row>
    <row r="119" ht="15.75" customHeight="1">
      <c r="A119" s="11" t="s">
        <v>24</v>
      </c>
      <c r="B119" s="11" t="s">
        <v>191</v>
      </c>
      <c r="C119" s="6"/>
      <c r="D119" s="8"/>
      <c r="E119" s="8"/>
      <c r="F119" s="9"/>
    </row>
    <row r="120" ht="15.75" customHeight="1">
      <c r="A120" s="11" t="s">
        <v>24</v>
      </c>
      <c r="B120" s="11" t="s">
        <v>192</v>
      </c>
      <c r="C120" s="6"/>
      <c r="D120" s="8"/>
      <c r="E120" s="8"/>
      <c r="F120" s="9"/>
    </row>
    <row r="121" ht="15.75" customHeight="1">
      <c r="A121" s="6" t="s">
        <v>48</v>
      </c>
      <c r="B121" s="6" t="s">
        <v>193</v>
      </c>
      <c r="C121" s="6" t="s">
        <v>194</v>
      </c>
      <c r="D121" s="8"/>
      <c r="E121" s="8"/>
      <c r="F121" s="9"/>
    </row>
    <row r="122" ht="15.75" customHeight="1">
      <c r="A122" s="6" t="s">
        <v>48</v>
      </c>
      <c r="B122" s="6" t="s">
        <v>195</v>
      </c>
      <c r="C122" s="6" t="s">
        <v>194</v>
      </c>
      <c r="D122" s="8"/>
      <c r="E122" s="8"/>
      <c r="F122" s="9"/>
    </row>
    <row r="123" ht="15.75" customHeight="1">
      <c r="A123" s="6" t="s">
        <v>48</v>
      </c>
      <c r="B123" s="6" t="s">
        <v>196</v>
      </c>
      <c r="C123" s="6" t="s">
        <v>194</v>
      </c>
      <c r="D123" s="8"/>
      <c r="E123" s="8"/>
      <c r="F123" s="9"/>
    </row>
    <row r="124" ht="15.75" customHeight="1">
      <c r="A124" s="6" t="s">
        <v>48</v>
      </c>
      <c r="B124" s="6" t="s">
        <v>197</v>
      </c>
      <c r="C124" s="6" t="s">
        <v>198</v>
      </c>
      <c r="D124" s="8"/>
      <c r="E124" s="8"/>
      <c r="F124" s="9"/>
    </row>
    <row r="125" ht="15.75" customHeight="1">
      <c r="A125" s="6" t="s">
        <v>48</v>
      </c>
      <c r="B125" s="6" t="s">
        <v>199</v>
      </c>
      <c r="C125" s="6" t="s">
        <v>198</v>
      </c>
      <c r="D125" s="8"/>
      <c r="E125" s="8"/>
      <c r="F125" s="9"/>
    </row>
    <row r="126" ht="15.75" customHeight="1">
      <c r="A126" s="6" t="s">
        <v>48</v>
      </c>
      <c r="B126" s="6" t="s">
        <v>200</v>
      </c>
      <c r="C126" s="6" t="s">
        <v>198</v>
      </c>
      <c r="D126" s="8"/>
      <c r="E126" s="8"/>
      <c r="F126" s="9"/>
    </row>
    <row r="127" ht="15.75" customHeight="1">
      <c r="A127" s="6" t="s">
        <v>201</v>
      </c>
      <c r="B127" s="6" t="s">
        <v>202</v>
      </c>
      <c r="C127" s="6" t="s">
        <v>203</v>
      </c>
      <c r="D127" s="8"/>
      <c r="E127" s="8"/>
      <c r="F127" s="9"/>
    </row>
    <row r="128" ht="15.75" customHeight="1">
      <c r="A128" s="6" t="s">
        <v>204</v>
      </c>
      <c r="B128" s="6" t="s">
        <v>205</v>
      </c>
      <c r="C128" s="6" t="s">
        <v>203</v>
      </c>
      <c r="D128" s="8"/>
      <c r="E128" s="8"/>
      <c r="F128" s="9"/>
    </row>
    <row r="129" ht="15.75" customHeight="1">
      <c r="A129" s="6" t="s">
        <v>6</v>
      </c>
      <c r="B129" s="6" t="s">
        <v>206</v>
      </c>
      <c r="C129" s="6" t="s">
        <v>207</v>
      </c>
      <c r="D129" s="8"/>
      <c r="E129" s="8"/>
      <c r="F129" s="9"/>
    </row>
    <row r="130" ht="15.75" customHeight="1">
      <c r="A130" s="6" t="s">
        <v>6</v>
      </c>
      <c r="B130" s="6" t="s">
        <v>208</v>
      </c>
      <c r="C130" s="6" t="s">
        <v>207</v>
      </c>
      <c r="D130" s="8"/>
      <c r="E130" s="8"/>
      <c r="F130" s="9"/>
    </row>
    <row r="131" ht="15.75" customHeight="1">
      <c r="A131" s="11" t="s">
        <v>66</v>
      </c>
      <c r="B131" s="11" t="s">
        <v>209</v>
      </c>
      <c r="C131" s="6"/>
      <c r="D131" s="8"/>
      <c r="E131" s="8"/>
      <c r="F131" s="9"/>
    </row>
    <row r="132" ht="15.75" customHeight="1">
      <c r="A132" s="11" t="s">
        <v>24</v>
      </c>
      <c r="B132" s="11" t="s">
        <v>210</v>
      </c>
      <c r="C132" s="6"/>
      <c r="D132" s="8"/>
      <c r="E132" s="8"/>
      <c r="F132" s="9"/>
    </row>
    <row r="133" ht="15.75" customHeight="1">
      <c r="A133" s="11" t="s">
        <v>24</v>
      </c>
      <c r="B133" s="11" t="s">
        <v>211</v>
      </c>
      <c r="C133" s="6"/>
      <c r="D133" s="8"/>
      <c r="E133" s="8"/>
      <c r="F133" s="9"/>
    </row>
    <row r="134" ht="15.75" customHeight="1">
      <c r="A134" s="6" t="s">
        <v>212</v>
      </c>
      <c r="B134" s="6" t="s">
        <v>213</v>
      </c>
      <c r="C134" s="6" t="s">
        <v>214</v>
      </c>
      <c r="D134" s="8"/>
      <c r="E134" s="8"/>
      <c r="F134" s="9"/>
    </row>
    <row r="135" ht="15.75" customHeight="1">
      <c r="A135" s="6" t="s">
        <v>212</v>
      </c>
      <c r="B135" s="6" t="s">
        <v>215</v>
      </c>
      <c r="C135" s="6" t="s">
        <v>214</v>
      </c>
      <c r="D135" s="8"/>
      <c r="E135" s="8"/>
      <c r="F135" s="9"/>
    </row>
    <row r="136" ht="15.75" customHeight="1">
      <c r="A136" s="6" t="s">
        <v>212</v>
      </c>
      <c r="B136" s="6" t="s">
        <v>216</v>
      </c>
      <c r="C136" s="6" t="s">
        <v>217</v>
      </c>
      <c r="D136" s="8"/>
      <c r="E136" s="8"/>
      <c r="F136" s="9"/>
    </row>
    <row r="137" ht="15.75" customHeight="1">
      <c r="A137" s="6" t="s">
        <v>212</v>
      </c>
      <c r="B137" s="6" t="s">
        <v>218</v>
      </c>
      <c r="C137" s="6" t="s">
        <v>217</v>
      </c>
      <c r="D137" s="8"/>
      <c r="E137" s="8"/>
      <c r="F137" s="9"/>
    </row>
    <row r="138" ht="15.75" customHeight="1">
      <c r="A138" s="6" t="s">
        <v>219</v>
      </c>
      <c r="B138" s="6" t="s">
        <v>220</v>
      </c>
      <c r="C138" s="6" t="s">
        <v>221</v>
      </c>
      <c r="D138" s="8"/>
      <c r="E138" s="8"/>
      <c r="F138" s="9"/>
    </row>
    <row r="139" ht="15.75" customHeight="1">
      <c r="A139" s="6" t="s">
        <v>219</v>
      </c>
      <c r="B139" s="6" t="s">
        <v>222</v>
      </c>
      <c r="C139" s="6" t="s">
        <v>223</v>
      </c>
      <c r="D139" s="8"/>
      <c r="E139" s="8"/>
      <c r="F139" s="9"/>
    </row>
    <row r="140" ht="15.75" customHeight="1">
      <c r="A140" s="6" t="s">
        <v>219</v>
      </c>
      <c r="B140" s="6" t="s">
        <v>224</v>
      </c>
      <c r="C140" s="6" t="s">
        <v>223</v>
      </c>
      <c r="D140" s="8"/>
      <c r="E140" s="8"/>
      <c r="F140" s="9"/>
    </row>
    <row r="141" ht="15.75" customHeight="1">
      <c r="A141" s="6" t="s">
        <v>219</v>
      </c>
      <c r="B141" s="6" t="s">
        <v>225</v>
      </c>
      <c r="C141" s="6" t="s">
        <v>221</v>
      </c>
      <c r="D141" s="8"/>
      <c r="E141" s="8"/>
      <c r="F141" s="9"/>
    </row>
    <row r="142" ht="15.75" customHeight="1">
      <c r="A142" s="6" t="s">
        <v>219</v>
      </c>
      <c r="B142" s="6" t="s">
        <v>226</v>
      </c>
      <c r="C142" s="6" t="s">
        <v>227</v>
      </c>
      <c r="D142" s="8"/>
      <c r="E142" s="8"/>
      <c r="F142" s="9"/>
    </row>
    <row r="143" ht="15.75" customHeight="1">
      <c r="A143" s="6" t="s">
        <v>219</v>
      </c>
      <c r="B143" s="6" t="s">
        <v>228</v>
      </c>
      <c r="C143" s="6" t="s">
        <v>227</v>
      </c>
      <c r="D143" s="8"/>
      <c r="E143" s="8"/>
      <c r="F143" s="9"/>
    </row>
    <row r="144" ht="15.75" customHeight="1">
      <c r="A144" s="11" t="s">
        <v>66</v>
      </c>
      <c r="B144" s="11" t="s">
        <v>229</v>
      </c>
      <c r="C144" s="6"/>
      <c r="D144" s="8"/>
      <c r="E144" s="8"/>
      <c r="F144" s="9"/>
    </row>
    <row r="145" ht="15.75" customHeight="1">
      <c r="A145" s="11" t="s">
        <v>24</v>
      </c>
      <c r="B145" s="11" t="s">
        <v>230</v>
      </c>
      <c r="C145" s="6"/>
      <c r="D145" s="8"/>
      <c r="E145" s="8"/>
      <c r="F145" s="9"/>
    </row>
    <row r="146" ht="15.75" customHeight="1">
      <c r="A146" s="11" t="s">
        <v>24</v>
      </c>
      <c r="B146" s="11" t="s">
        <v>231</v>
      </c>
      <c r="C146" s="6"/>
      <c r="D146" s="8"/>
      <c r="E146" s="8"/>
      <c r="F146" s="9"/>
    </row>
    <row r="147" ht="15.75" customHeight="1">
      <c r="A147" s="7" t="s">
        <v>93</v>
      </c>
      <c r="B147" s="6" t="s">
        <v>232</v>
      </c>
      <c r="C147" s="6" t="s">
        <v>233</v>
      </c>
      <c r="D147" s="8"/>
      <c r="E147" s="8"/>
      <c r="F147" s="9"/>
    </row>
    <row r="148" ht="15.75" customHeight="1">
      <c r="A148" s="6" t="s">
        <v>93</v>
      </c>
      <c r="B148" s="6" t="s">
        <v>234</v>
      </c>
      <c r="C148" s="6" t="s">
        <v>233</v>
      </c>
      <c r="D148" s="8"/>
      <c r="E148" s="8"/>
      <c r="F148" s="9"/>
    </row>
    <row r="149" ht="15.75" customHeight="1">
      <c r="A149" s="6" t="s">
        <v>93</v>
      </c>
      <c r="B149" s="6" t="s">
        <v>235</v>
      </c>
      <c r="C149" s="6" t="s">
        <v>236</v>
      </c>
      <c r="D149" s="8"/>
      <c r="E149" s="8"/>
      <c r="F149" s="9"/>
    </row>
    <row r="150" ht="15.75" customHeight="1">
      <c r="A150" s="6" t="s">
        <v>93</v>
      </c>
      <c r="B150" s="6" t="s">
        <v>237</v>
      </c>
      <c r="C150" s="6" t="s">
        <v>236</v>
      </c>
      <c r="D150" s="8"/>
      <c r="E150" s="8"/>
      <c r="F150" s="9"/>
    </row>
    <row r="151" ht="15.75" customHeight="1">
      <c r="A151" s="6" t="s">
        <v>36</v>
      </c>
      <c r="B151" s="6" t="s">
        <v>238</v>
      </c>
      <c r="C151" s="6" t="s">
        <v>239</v>
      </c>
      <c r="D151" s="8"/>
      <c r="E151" s="8"/>
      <c r="F151" s="9"/>
    </row>
    <row r="152" ht="15.75" customHeight="1">
      <c r="A152" s="7" t="s">
        <v>36</v>
      </c>
      <c r="B152" s="6" t="s">
        <v>240</v>
      </c>
      <c r="C152" s="6" t="s">
        <v>239</v>
      </c>
      <c r="D152" s="8"/>
      <c r="E152" s="8"/>
      <c r="F152" s="9"/>
    </row>
    <row r="153" ht="15.75" customHeight="1">
      <c r="A153" s="7" t="s">
        <v>36</v>
      </c>
      <c r="B153" s="6" t="s">
        <v>241</v>
      </c>
      <c r="C153" s="6" t="s">
        <v>242</v>
      </c>
      <c r="D153" s="8"/>
      <c r="E153" s="8"/>
      <c r="F153" s="9"/>
    </row>
    <row r="154" ht="15.75" customHeight="1">
      <c r="A154" s="7" t="s">
        <v>36</v>
      </c>
      <c r="B154" s="6" t="s">
        <v>243</v>
      </c>
      <c r="C154" s="6" t="s">
        <v>242</v>
      </c>
      <c r="D154" s="8"/>
      <c r="E154" s="8"/>
      <c r="F154" s="9"/>
    </row>
    <row r="155" ht="15.75" customHeight="1">
      <c r="A155" s="7" t="s">
        <v>36</v>
      </c>
      <c r="B155" s="6" t="s">
        <v>244</v>
      </c>
      <c r="C155" s="6" t="s">
        <v>245</v>
      </c>
      <c r="D155" s="8"/>
      <c r="E155" s="8"/>
      <c r="F155" s="9"/>
    </row>
    <row r="156" ht="15.75" customHeight="1">
      <c r="A156" s="7" t="s">
        <v>36</v>
      </c>
      <c r="B156" s="6" t="s">
        <v>246</v>
      </c>
      <c r="C156" s="6" t="s">
        <v>245</v>
      </c>
      <c r="D156" s="8"/>
      <c r="E156" s="8"/>
      <c r="F156" s="9"/>
    </row>
    <row r="157" ht="15.75" customHeight="1">
      <c r="A157" s="11" t="s">
        <v>24</v>
      </c>
      <c r="B157" s="11" t="s">
        <v>247</v>
      </c>
      <c r="C157" s="6"/>
      <c r="D157" s="8"/>
      <c r="E157" s="8"/>
      <c r="F157" s="9"/>
    </row>
    <row r="158" ht="15.75" customHeight="1">
      <c r="A158" s="7" t="s">
        <v>36</v>
      </c>
      <c r="B158" s="15" t="s">
        <v>248</v>
      </c>
      <c r="C158" s="15" t="s">
        <v>249</v>
      </c>
      <c r="D158" s="8"/>
      <c r="E158" s="8"/>
      <c r="F158" s="9"/>
    </row>
    <row r="159" ht="15.75" customHeight="1">
      <c r="A159" s="7" t="s">
        <v>36</v>
      </c>
      <c r="B159" s="6" t="s">
        <v>250</v>
      </c>
      <c r="C159" s="6" t="s">
        <v>249</v>
      </c>
      <c r="D159" s="8"/>
      <c r="E159" s="8"/>
      <c r="F159" s="9"/>
    </row>
    <row r="160" ht="15.75" customHeight="1">
      <c r="A160" s="16" t="s">
        <v>186</v>
      </c>
      <c r="B160" s="15" t="s">
        <v>251</v>
      </c>
      <c r="C160" s="15" t="s">
        <v>252</v>
      </c>
      <c r="D160" s="8"/>
      <c r="E160" s="8"/>
      <c r="F160" s="9"/>
    </row>
    <row r="161" ht="15.75" customHeight="1">
      <c r="A161" s="16" t="s">
        <v>186</v>
      </c>
      <c r="B161" s="15" t="s">
        <v>253</v>
      </c>
      <c r="C161" s="15" t="s">
        <v>252</v>
      </c>
      <c r="D161" s="8"/>
      <c r="E161" s="8"/>
      <c r="F161" s="9"/>
    </row>
    <row r="162" ht="15.75" customHeight="1">
      <c r="A162" s="16" t="s">
        <v>112</v>
      </c>
      <c r="B162" s="15" t="s">
        <v>254</v>
      </c>
      <c r="C162" s="15" t="s">
        <v>255</v>
      </c>
      <c r="D162" s="8"/>
      <c r="E162" s="8"/>
      <c r="F162" s="9"/>
    </row>
    <row r="163" ht="15.75" customHeight="1">
      <c r="A163" s="16" t="s">
        <v>112</v>
      </c>
      <c r="B163" s="15" t="s">
        <v>256</v>
      </c>
      <c r="C163" s="15" t="s">
        <v>255</v>
      </c>
      <c r="D163" s="8"/>
      <c r="E163" s="8"/>
      <c r="F163" s="9"/>
    </row>
    <row r="164" ht="15.75" customHeight="1">
      <c r="A164" s="16" t="s">
        <v>257</v>
      </c>
      <c r="B164" s="15" t="s">
        <v>258</v>
      </c>
      <c r="C164" s="15" t="s">
        <v>259</v>
      </c>
      <c r="D164" s="8"/>
      <c r="E164" s="8"/>
      <c r="F164" s="9"/>
    </row>
    <row r="165" ht="15.75" customHeight="1">
      <c r="A165" s="16" t="s">
        <v>219</v>
      </c>
      <c r="B165" s="15" t="s">
        <v>260</v>
      </c>
      <c r="C165" s="15" t="s">
        <v>259</v>
      </c>
      <c r="D165" s="8"/>
      <c r="E165" s="8"/>
      <c r="F165" s="9"/>
    </row>
    <row r="166" ht="15.75" customHeight="1">
      <c r="A166" s="11" t="s">
        <v>24</v>
      </c>
      <c r="B166" s="11" t="s">
        <v>247</v>
      </c>
      <c r="C166" s="15"/>
      <c r="D166" s="8"/>
      <c r="E166" s="8"/>
      <c r="F166" s="9"/>
    </row>
    <row r="167" ht="15.75" customHeight="1">
      <c r="A167" s="16" t="s">
        <v>219</v>
      </c>
      <c r="B167" s="15" t="s">
        <v>261</v>
      </c>
      <c r="C167" s="15" t="s">
        <v>262</v>
      </c>
      <c r="D167" s="8"/>
      <c r="E167" s="8"/>
      <c r="F167" s="9"/>
    </row>
    <row r="168" ht="15.75" customHeight="1">
      <c r="A168" s="16" t="s">
        <v>219</v>
      </c>
      <c r="B168" s="15" t="s">
        <v>263</v>
      </c>
      <c r="C168" s="15" t="s">
        <v>262</v>
      </c>
      <c r="D168" s="8"/>
      <c r="E168" s="8"/>
      <c r="F168" s="9"/>
    </row>
    <row r="169" ht="15.75" customHeight="1">
      <c r="A169" s="16" t="s">
        <v>27</v>
      </c>
      <c r="B169" s="15" t="s">
        <v>264</v>
      </c>
      <c r="C169" s="15" t="s">
        <v>265</v>
      </c>
      <c r="D169" s="8"/>
      <c r="E169" s="8"/>
      <c r="F169" s="9"/>
    </row>
    <row r="170" ht="15.75" customHeight="1">
      <c r="A170" s="16" t="s">
        <v>27</v>
      </c>
      <c r="B170" s="15" t="s">
        <v>266</v>
      </c>
      <c r="C170" s="15" t="s">
        <v>265</v>
      </c>
      <c r="D170" s="8"/>
      <c r="E170" s="8"/>
      <c r="F170" s="9"/>
    </row>
    <row r="171" ht="15.75" customHeight="1">
      <c r="A171" s="16" t="s">
        <v>48</v>
      </c>
      <c r="B171" s="15" t="s">
        <v>267</v>
      </c>
      <c r="C171" s="15" t="s">
        <v>268</v>
      </c>
      <c r="D171" s="8"/>
      <c r="E171" s="8"/>
      <c r="F171" s="9"/>
    </row>
    <row r="172" ht="15.75" customHeight="1">
      <c r="A172" s="15" t="s">
        <v>48</v>
      </c>
      <c r="B172" s="15" t="s">
        <v>269</v>
      </c>
      <c r="C172" s="15" t="s">
        <v>268</v>
      </c>
      <c r="D172" s="8"/>
      <c r="E172" s="8"/>
      <c r="F172" s="9"/>
    </row>
    <row r="173" ht="15.75" customHeight="1">
      <c r="A173" s="15" t="s">
        <v>36</v>
      </c>
      <c r="B173" s="15" t="s">
        <v>270</v>
      </c>
      <c r="C173" s="15" t="s">
        <v>271</v>
      </c>
      <c r="D173" s="8"/>
      <c r="E173" s="8"/>
      <c r="F173" s="9"/>
    </row>
    <row r="174" ht="15.75" customHeight="1">
      <c r="A174" s="16" t="s">
        <v>36</v>
      </c>
      <c r="B174" s="15" t="s">
        <v>272</v>
      </c>
      <c r="C174" s="15" t="s">
        <v>271</v>
      </c>
      <c r="D174" s="8"/>
      <c r="E174" s="8"/>
      <c r="F174" s="9"/>
    </row>
    <row r="175" ht="15.75" customHeight="1">
      <c r="A175" s="15" t="s">
        <v>273</v>
      </c>
      <c r="B175" s="15" t="s">
        <v>274</v>
      </c>
      <c r="C175" s="15" t="s">
        <v>275</v>
      </c>
      <c r="D175" s="8"/>
      <c r="E175" s="8"/>
      <c r="F175" s="9"/>
    </row>
    <row r="176" ht="15.75" customHeight="1">
      <c r="A176" s="15" t="s">
        <v>273</v>
      </c>
      <c r="B176" s="15" t="s">
        <v>276</v>
      </c>
      <c r="C176" s="15" t="s">
        <v>275</v>
      </c>
      <c r="D176" s="8"/>
      <c r="E176" s="8"/>
      <c r="F176" s="9"/>
    </row>
    <row r="177" ht="15.75" customHeight="1">
      <c r="A177" s="15" t="s">
        <v>273</v>
      </c>
      <c r="B177" s="15" t="s">
        <v>277</v>
      </c>
      <c r="C177" s="15" t="s">
        <v>275</v>
      </c>
      <c r="D177" s="8"/>
      <c r="E177" s="8"/>
      <c r="F177" s="9"/>
    </row>
    <row r="178" ht="15.75" customHeight="1">
      <c r="A178" s="11" t="s">
        <v>24</v>
      </c>
      <c r="B178" s="11" t="s">
        <v>247</v>
      </c>
      <c r="C178" s="15"/>
      <c r="D178" s="8"/>
      <c r="E178" s="8"/>
      <c r="F178" s="9"/>
    </row>
    <row r="179" ht="15.75" customHeight="1">
      <c r="A179" s="15" t="s">
        <v>15</v>
      </c>
      <c r="B179" s="15" t="s">
        <v>278</v>
      </c>
      <c r="C179" s="15" t="s">
        <v>279</v>
      </c>
      <c r="D179" s="8"/>
      <c r="E179" s="8"/>
      <c r="F179" s="9"/>
    </row>
    <row r="180" ht="15.75" customHeight="1">
      <c r="A180" s="6" t="s">
        <v>164</v>
      </c>
      <c r="B180" s="6" t="s">
        <v>280</v>
      </c>
      <c r="C180" s="6" t="s">
        <v>281</v>
      </c>
      <c r="D180" s="8"/>
      <c r="E180" s="8"/>
      <c r="F180" s="9"/>
    </row>
    <row r="181" ht="15.75" customHeight="1">
      <c r="A181" s="6" t="s">
        <v>164</v>
      </c>
      <c r="B181" s="6" t="s">
        <v>282</v>
      </c>
      <c r="C181" s="6" t="s">
        <v>281</v>
      </c>
      <c r="D181" s="8"/>
      <c r="E181" s="8"/>
      <c r="F181" s="9"/>
    </row>
    <row r="182" ht="15.75" customHeight="1">
      <c r="A182" s="6" t="s">
        <v>283</v>
      </c>
      <c r="B182" s="6" t="s">
        <v>284</v>
      </c>
      <c r="C182" s="6" t="s">
        <v>281</v>
      </c>
      <c r="D182" s="8"/>
      <c r="E182" s="8"/>
      <c r="F182" s="9"/>
    </row>
    <row r="183" ht="15.75" customHeight="1">
      <c r="A183" s="6" t="s">
        <v>103</v>
      </c>
      <c r="B183" s="6" t="s">
        <v>285</v>
      </c>
      <c r="C183" s="6" t="s">
        <v>286</v>
      </c>
      <c r="D183" s="8"/>
      <c r="E183" s="8"/>
      <c r="F183" s="9"/>
    </row>
    <row r="184" ht="15.75" customHeight="1">
      <c r="A184" s="6" t="s">
        <v>103</v>
      </c>
      <c r="B184" s="6" t="s">
        <v>287</v>
      </c>
      <c r="C184" s="6" t="s">
        <v>286</v>
      </c>
      <c r="D184" s="8"/>
      <c r="E184" s="8"/>
      <c r="F184" s="9"/>
    </row>
    <row r="185" ht="15.75" customHeight="1">
      <c r="A185" s="6" t="s">
        <v>150</v>
      </c>
      <c r="B185" s="6" t="s">
        <v>288</v>
      </c>
      <c r="C185" s="6" t="s">
        <v>289</v>
      </c>
      <c r="D185" s="8"/>
      <c r="E185" s="8"/>
      <c r="F185" s="9"/>
    </row>
    <row r="186" ht="15.75" customHeight="1">
      <c r="A186" s="7" t="s">
        <v>290</v>
      </c>
      <c r="B186" s="6" t="s">
        <v>291</v>
      </c>
      <c r="C186" s="6" t="s">
        <v>289</v>
      </c>
      <c r="D186" s="8"/>
      <c r="E186" s="8"/>
      <c r="F186" s="9"/>
    </row>
    <row r="187" ht="15.75" customHeight="1">
      <c r="A187" s="7" t="s">
        <v>122</v>
      </c>
      <c r="B187" s="6" t="s">
        <v>292</v>
      </c>
      <c r="C187" s="6" t="s">
        <v>293</v>
      </c>
      <c r="D187" s="8"/>
      <c r="E187" s="8"/>
      <c r="F187" s="9"/>
    </row>
    <row r="188" ht="15.75" customHeight="1">
      <c r="A188" s="7" t="s">
        <v>122</v>
      </c>
      <c r="B188" s="6" t="s">
        <v>294</v>
      </c>
      <c r="C188" s="6" t="s">
        <v>293</v>
      </c>
      <c r="D188" s="8"/>
      <c r="E188" s="8"/>
      <c r="F188" s="9"/>
    </row>
    <row r="189" ht="15.75" customHeight="1">
      <c r="A189" s="7" t="s">
        <v>132</v>
      </c>
      <c r="B189" s="6" t="s">
        <v>295</v>
      </c>
      <c r="C189" s="15" t="s">
        <v>296</v>
      </c>
      <c r="D189" s="8"/>
      <c r="E189" s="8"/>
      <c r="F189" s="9"/>
    </row>
    <row r="190" ht="15.75" customHeight="1">
      <c r="A190" s="11" t="s">
        <v>24</v>
      </c>
      <c r="B190" s="11" t="s">
        <v>247</v>
      </c>
      <c r="C190" s="6"/>
      <c r="D190" s="8"/>
      <c r="E190" s="8"/>
      <c r="F190" s="9"/>
    </row>
    <row r="191" ht="15.75" customHeight="1">
      <c r="A191" s="7" t="s">
        <v>48</v>
      </c>
      <c r="B191" s="6" t="s">
        <v>297</v>
      </c>
      <c r="C191" s="6" t="s">
        <v>298</v>
      </c>
      <c r="D191" s="8"/>
      <c r="E191" s="8"/>
      <c r="F191" s="9"/>
    </row>
    <row r="192" ht="15.75" customHeight="1">
      <c r="A192" s="6" t="s">
        <v>299</v>
      </c>
      <c r="B192" s="6" t="s">
        <v>300</v>
      </c>
      <c r="C192" s="6" t="s">
        <v>298</v>
      </c>
      <c r="D192" s="8"/>
      <c r="E192" s="8"/>
      <c r="F192" s="9"/>
    </row>
    <row r="193" ht="15.75" customHeight="1">
      <c r="A193" s="7" t="s">
        <v>299</v>
      </c>
      <c r="B193" s="6" t="s">
        <v>301</v>
      </c>
      <c r="C193" s="6" t="s">
        <v>298</v>
      </c>
      <c r="D193" s="8"/>
      <c r="E193" s="8"/>
      <c r="F193" s="9"/>
    </row>
    <row r="194" ht="15.75" customHeight="1">
      <c r="A194" s="7" t="s">
        <v>299</v>
      </c>
      <c r="B194" s="6" t="s">
        <v>302</v>
      </c>
      <c r="C194" s="6" t="s">
        <v>298</v>
      </c>
      <c r="D194" s="8"/>
      <c r="E194" s="8"/>
      <c r="F194" s="9"/>
    </row>
    <row r="195" ht="15.75" customHeight="1">
      <c r="A195" s="15" t="s">
        <v>186</v>
      </c>
      <c r="B195" s="15" t="s">
        <v>303</v>
      </c>
      <c r="C195" s="15" t="s">
        <v>304</v>
      </c>
      <c r="D195" s="8"/>
      <c r="E195" s="8"/>
      <c r="F195" s="9"/>
    </row>
    <row r="196" ht="15.75" customHeight="1">
      <c r="A196" s="15" t="s">
        <v>186</v>
      </c>
      <c r="B196" s="6" t="s">
        <v>305</v>
      </c>
      <c r="C196" s="15" t="s">
        <v>304</v>
      </c>
      <c r="D196" s="8"/>
      <c r="E196" s="8"/>
      <c r="F196" s="9"/>
    </row>
    <row r="197" ht="15.75" customHeight="1">
      <c r="A197" s="15" t="s">
        <v>186</v>
      </c>
      <c r="B197" s="16" t="s">
        <v>306</v>
      </c>
      <c r="C197" s="15" t="s">
        <v>304</v>
      </c>
      <c r="D197" s="8"/>
      <c r="E197" s="8"/>
      <c r="F197" s="9"/>
    </row>
    <row r="198" ht="15.75" customHeight="1">
      <c r="A198" s="7" t="s">
        <v>164</v>
      </c>
      <c r="B198" s="16" t="s">
        <v>307</v>
      </c>
      <c r="C198" s="6" t="s">
        <v>308</v>
      </c>
      <c r="D198" s="8"/>
      <c r="E198" s="8"/>
      <c r="F198" s="9"/>
    </row>
    <row r="199" ht="15.75" customHeight="1">
      <c r="A199" s="6" t="s">
        <v>164</v>
      </c>
      <c r="B199" s="6" t="s">
        <v>309</v>
      </c>
      <c r="C199" s="6" t="s">
        <v>310</v>
      </c>
      <c r="D199" s="8"/>
      <c r="E199" s="8"/>
      <c r="F199" s="9"/>
    </row>
    <row r="200" ht="15.75" customHeight="1">
      <c r="A200" s="7" t="s">
        <v>311</v>
      </c>
      <c r="B200" s="6" t="s">
        <v>312</v>
      </c>
      <c r="C200" s="6" t="s">
        <v>310</v>
      </c>
      <c r="D200" s="8"/>
      <c r="E200" s="8"/>
      <c r="F200" s="9"/>
    </row>
    <row r="201" ht="15.75" customHeight="1">
      <c r="A201" s="6" t="s">
        <v>122</v>
      </c>
      <c r="B201" s="6" t="s">
        <v>313</v>
      </c>
      <c r="C201" s="6" t="s">
        <v>314</v>
      </c>
      <c r="D201" s="8"/>
      <c r="E201" s="8"/>
      <c r="F201" s="9"/>
    </row>
    <row r="202" ht="15.75" customHeight="1">
      <c r="A202" s="6" t="s">
        <v>48</v>
      </c>
      <c r="B202" s="6" t="s">
        <v>315</v>
      </c>
      <c r="C202" s="6" t="s">
        <v>314</v>
      </c>
      <c r="D202" s="8"/>
      <c r="E202" s="8"/>
      <c r="F202" s="9"/>
    </row>
    <row r="203" ht="15.75" customHeight="1">
      <c r="A203" s="7" t="s">
        <v>15</v>
      </c>
      <c r="B203" s="6" t="s">
        <v>316</v>
      </c>
      <c r="C203" s="6" t="s">
        <v>314</v>
      </c>
      <c r="D203" s="8"/>
      <c r="E203" s="8"/>
      <c r="F203" s="1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11" t="s">
        <v>24</v>
      </c>
      <c r="B204" s="11" t="s">
        <v>247</v>
      </c>
      <c r="C204" s="6"/>
      <c r="D204" s="8"/>
      <c r="E204" s="8"/>
      <c r="F204" s="1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 t="s">
        <v>48</v>
      </c>
      <c r="B205" s="15" t="s">
        <v>317</v>
      </c>
      <c r="C205" s="6" t="s">
        <v>318</v>
      </c>
      <c r="D205" s="8"/>
      <c r="E205" s="14"/>
      <c r="F205" s="9"/>
    </row>
    <row r="206" ht="15.75" customHeight="1">
      <c r="A206" s="6" t="s">
        <v>48</v>
      </c>
      <c r="B206" s="15" t="s">
        <v>319</v>
      </c>
      <c r="C206" s="6" t="s">
        <v>320</v>
      </c>
      <c r="D206" s="8"/>
      <c r="E206" s="14"/>
      <c r="F206" s="9"/>
    </row>
    <row r="207" ht="15.75" customHeight="1">
      <c r="A207" s="6" t="s">
        <v>48</v>
      </c>
      <c r="B207" s="15" t="s">
        <v>321</v>
      </c>
      <c r="C207" s="6" t="s">
        <v>320</v>
      </c>
      <c r="D207" s="8"/>
      <c r="E207" s="14"/>
      <c r="F207" s="9"/>
    </row>
    <row r="208" ht="15.75" customHeight="1">
      <c r="A208" s="15" t="s">
        <v>15</v>
      </c>
      <c r="B208" s="15" t="s">
        <v>322</v>
      </c>
      <c r="C208" s="15" t="s">
        <v>323</v>
      </c>
      <c r="D208" s="8"/>
      <c r="E208" s="8"/>
      <c r="F208" s="9"/>
    </row>
    <row r="209" ht="15.75" customHeight="1">
      <c r="A209" s="15" t="s">
        <v>81</v>
      </c>
      <c r="B209" s="15" t="s">
        <v>324</v>
      </c>
      <c r="C209" s="15" t="s">
        <v>323</v>
      </c>
      <c r="D209" s="8"/>
      <c r="E209" s="8"/>
      <c r="F209" s="9"/>
    </row>
    <row r="210" ht="15.75" customHeight="1">
      <c r="A210" s="15" t="s">
        <v>13</v>
      </c>
      <c r="B210" s="15" t="s">
        <v>325</v>
      </c>
      <c r="C210" s="15" t="s">
        <v>326</v>
      </c>
      <c r="D210" s="8"/>
      <c r="E210" s="8"/>
      <c r="F210" s="9"/>
    </row>
    <row r="211" ht="15.75" customHeight="1">
      <c r="A211" s="15" t="s">
        <v>212</v>
      </c>
      <c r="B211" s="15" t="s">
        <v>327</v>
      </c>
      <c r="C211" s="15" t="s">
        <v>326</v>
      </c>
      <c r="D211" s="8"/>
      <c r="E211" s="8"/>
      <c r="F211" s="9"/>
    </row>
    <row r="212" ht="15.75" customHeight="1">
      <c r="A212" s="15" t="s">
        <v>153</v>
      </c>
      <c r="B212" s="15" t="s">
        <v>328</v>
      </c>
      <c r="C212" s="6" t="s">
        <v>329</v>
      </c>
      <c r="D212" s="8"/>
      <c r="E212" s="8"/>
      <c r="F212" s="9"/>
    </row>
    <row r="213" ht="15.75" customHeight="1">
      <c r="A213" s="7" t="s">
        <v>212</v>
      </c>
      <c r="B213" s="6" t="s">
        <v>330</v>
      </c>
      <c r="C213" s="6" t="s">
        <v>329</v>
      </c>
      <c r="D213" s="8"/>
      <c r="E213" s="8"/>
      <c r="F213" s="9"/>
    </row>
    <row r="214" ht="15.75" customHeight="1">
      <c r="A214" s="15" t="s">
        <v>186</v>
      </c>
      <c r="B214" s="15" t="s">
        <v>331</v>
      </c>
      <c r="C214" s="15" t="s">
        <v>332</v>
      </c>
      <c r="D214" s="8"/>
      <c r="E214" s="8"/>
      <c r="F214" s="9"/>
    </row>
    <row r="215" ht="15.75" customHeight="1">
      <c r="A215" s="15" t="s">
        <v>333</v>
      </c>
      <c r="B215" s="15" t="s">
        <v>334</v>
      </c>
      <c r="C215" s="15" t="s">
        <v>332</v>
      </c>
      <c r="D215" s="8"/>
      <c r="E215" s="8"/>
      <c r="F215" s="9"/>
    </row>
    <row r="216" ht="15.75" customHeight="1">
      <c r="A216" s="6" t="s">
        <v>155</v>
      </c>
      <c r="B216" s="6" t="s">
        <v>335</v>
      </c>
      <c r="C216" s="6" t="s">
        <v>336</v>
      </c>
      <c r="D216" s="8"/>
      <c r="E216" s="8"/>
      <c r="F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15" t="s">
        <v>186</v>
      </c>
      <c r="B217" s="15" t="s">
        <v>337</v>
      </c>
      <c r="C217" s="15" t="s">
        <v>304</v>
      </c>
      <c r="D217" s="8"/>
      <c r="E217" s="8"/>
      <c r="F217" s="9"/>
    </row>
    <row r="218" ht="15.75" customHeight="1">
      <c r="A218" s="7" t="s">
        <v>338</v>
      </c>
      <c r="B218" s="6" t="s">
        <v>339</v>
      </c>
      <c r="C218" s="6"/>
      <c r="D218" s="8"/>
      <c r="E218" s="8"/>
      <c r="F218" s="9"/>
    </row>
    <row r="219" ht="15.75" customHeight="1">
      <c r="A219" s="7" t="s">
        <v>340</v>
      </c>
      <c r="B219" s="6" t="s">
        <v>339</v>
      </c>
      <c r="C219" s="6"/>
      <c r="D219" s="8"/>
      <c r="E219" s="8"/>
      <c r="F219" s="9"/>
    </row>
    <row r="220" ht="15.75" customHeight="1">
      <c r="A220" s="7" t="s">
        <v>341</v>
      </c>
      <c r="B220" s="6" t="s">
        <v>339</v>
      </c>
      <c r="C220" s="6"/>
      <c r="D220" s="8"/>
      <c r="E220" s="8"/>
      <c r="F220" s="9"/>
    </row>
    <row r="221" ht="15.75" customHeight="1">
      <c r="A221" s="7" t="s">
        <v>342</v>
      </c>
      <c r="B221" s="6" t="s">
        <v>339</v>
      </c>
      <c r="C221" s="6"/>
      <c r="D221" s="8"/>
      <c r="E221" s="8"/>
      <c r="F221" s="9"/>
    </row>
    <row r="222" ht="15.75" customHeight="1">
      <c r="A222" s="11" t="s">
        <v>24</v>
      </c>
      <c r="B222" s="11" t="s">
        <v>247</v>
      </c>
      <c r="C222" s="6"/>
      <c r="D222" s="8"/>
      <c r="E222" s="8"/>
      <c r="F222" s="9"/>
    </row>
    <row r="223" ht="15.75" customHeight="1">
      <c r="A223" s="11" t="s">
        <v>24</v>
      </c>
      <c r="B223" s="11" t="s">
        <v>343</v>
      </c>
      <c r="C223" s="6"/>
      <c r="D223" s="8"/>
      <c r="E223" s="8"/>
      <c r="F223" s="9"/>
    </row>
    <row r="224" ht="15.75" customHeight="1">
      <c r="A224" s="7"/>
      <c r="B224" s="6"/>
      <c r="C224" s="6"/>
      <c r="D224" s="8"/>
      <c r="E224" s="8"/>
      <c r="F224" s="9"/>
    </row>
    <row r="225" ht="15.75" customHeight="1">
      <c r="A225" s="7"/>
      <c r="B225" s="6"/>
      <c r="C225" s="6"/>
      <c r="D225" s="8"/>
      <c r="E225" s="8"/>
      <c r="F225" s="9"/>
    </row>
    <row r="226" ht="15.75" customHeight="1">
      <c r="A226" s="6"/>
      <c r="B226" s="6"/>
      <c r="C226" s="6"/>
      <c r="D226" s="8"/>
      <c r="E226" s="8"/>
      <c r="F226" s="9"/>
    </row>
    <row r="227" ht="15.75" customHeight="1">
      <c r="A227" s="7"/>
      <c r="B227" s="6"/>
      <c r="C227" s="6"/>
      <c r="D227" s="8"/>
      <c r="E227" s="8"/>
      <c r="F227" s="9"/>
    </row>
    <row r="228" ht="15.75" customHeight="1">
      <c r="A228" s="7"/>
      <c r="B228" s="6"/>
      <c r="C228" s="6"/>
      <c r="D228" s="8"/>
      <c r="E228" s="8"/>
      <c r="F228" s="9"/>
    </row>
    <row r="229" ht="15.75" customHeight="1">
      <c r="A229" s="7"/>
      <c r="B229" s="6"/>
      <c r="C229" s="6"/>
      <c r="D229" s="8"/>
      <c r="E229" s="8"/>
      <c r="F229" s="9"/>
    </row>
    <row r="230" ht="15.75" customHeight="1">
      <c r="A230" s="7"/>
      <c r="B230" s="6"/>
      <c r="C230" s="6"/>
      <c r="D230" s="8"/>
      <c r="E230" s="8"/>
      <c r="F230" s="9"/>
    </row>
    <row r="231" ht="15.75" customHeight="1">
      <c r="A231" s="7"/>
      <c r="B231" s="6"/>
      <c r="C231" s="6"/>
      <c r="D231" s="8"/>
      <c r="E231" s="8"/>
      <c r="F231" s="9"/>
    </row>
    <row r="232" ht="15.75" customHeight="1">
      <c r="A232" s="6"/>
      <c r="B232" s="6"/>
      <c r="C232" s="6"/>
      <c r="D232" s="8"/>
      <c r="E232" s="8"/>
      <c r="F232" s="9"/>
    </row>
    <row r="233" ht="15.75" customHeight="1">
      <c r="A233" s="7"/>
      <c r="B233" s="6"/>
      <c r="C233" s="6"/>
      <c r="D233" s="8"/>
      <c r="E233" s="8"/>
      <c r="F233" s="9"/>
    </row>
    <row r="234" ht="15.75" customHeight="1">
      <c r="A234" s="16"/>
      <c r="D234" s="8"/>
      <c r="E234" s="8"/>
      <c r="F234" s="9"/>
    </row>
    <row r="235" ht="15.75" customHeight="1">
      <c r="A235" s="16"/>
      <c r="D235" s="8"/>
      <c r="E235" s="8"/>
      <c r="F235" s="9"/>
    </row>
    <row r="236" ht="15.75" customHeight="1">
      <c r="A236" s="16"/>
      <c r="D236" s="8"/>
      <c r="E236" s="8"/>
      <c r="F236" s="9"/>
    </row>
    <row r="237" ht="15.75" customHeight="1">
      <c r="A237" s="16"/>
      <c r="D237" s="8"/>
      <c r="E237" s="8"/>
      <c r="F237" s="9"/>
    </row>
    <row r="238" ht="15.75" customHeight="1">
      <c r="A238" s="16"/>
      <c r="D238" s="8"/>
      <c r="E238" s="8"/>
      <c r="F238" s="9"/>
    </row>
    <row r="239" ht="15.75" customHeight="1">
      <c r="A239" s="16"/>
      <c r="D239" s="8"/>
      <c r="E239" s="8"/>
      <c r="F239" s="9"/>
    </row>
    <row r="240" ht="15.75" customHeight="1">
      <c r="A240" s="16"/>
      <c r="D240" s="8"/>
      <c r="E240" s="8"/>
      <c r="F240" s="9"/>
    </row>
    <row r="241" ht="15.75" customHeight="1">
      <c r="D241" s="8"/>
      <c r="E241" s="8"/>
      <c r="F241" s="9"/>
    </row>
    <row r="242" ht="15.75" customHeight="1">
      <c r="D242" s="8"/>
      <c r="E242" s="8"/>
      <c r="F242" s="9"/>
    </row>
    <row r="243" ht="15.75" customHeight="1">
      <c r="D243" s="8"/>
      <c r="E243" s="8"/>
      <c r="F243" s="9"/>
    </row>
    <row r="244" ht="15.75" customHeight="1">
      <c r="D244" s="8"/>
      <c r="E244" s="8"/>
      <c r="F244" s="9"/>
    </row>
    <row r="245" ht="15.75" customHeight="1">
      <c r="A245" s="16"/>
      <c r="D245" s="8"/>
      <c r="E245" s="8"/>
      <c r="F245" s="9"/>
    </row>
    <row r="246" ht="15.75" customHeight="1">
      <c r="A246" s="16"/>
      <c r="D246" s="8"/>
      <c r="E246" s="8"/>
      <c r="F246" s="9"/>
    </row>
    <row r="247" ht="15.75" customHeight="1">
      <c r="A247" s="16"/>
      <c r="D247" s="8"/>
      <c r="E247" s="8"/>
      <c r="F247" s="9"/>
    </row>
    <row r="248" ht="15.75" customHeight="1">
      <c r="A248" s="16"/>
      <c r="D248" s="8"/>
      <c r="E248" s="8"/>
      <c r="F248" s="9"/>
    </row>
    <row r="249" ht="15.75" customHeight="1">
      <c r="A249" s="16"/>
      <c r="D249" s="8"/>
      <c r="E249" s="8"/>
      <c r="F249" s="9"/>
    </row>
    <row r="250" ht="15.75" customHeight="1">
      <c r="A250" s="17"/>
      <c r="B250" s="17"/>
      <c r="D250" s="8"/>
      <c r="E250" s="8"/>
      <c r="F250" s="9"/>
    </row>
    <row r="251" ht="15.75" customHeight="1">
      <c r="A251" s="17"/>
      <c r="B251" s="17"/>
      <c r="D251" s="8"/>
      <c r="E251" s="8"/>
      <c r="F251" s="9"/>
    </row>
    <row r="252" ht="15.75" customHeight="1">
      <c r="A252" s="17"/>
      <c r="B252" s="17"/>
      <c r="D252" s="8"/>
      <c r="E252" s="8"/>
      <c r="F252" s="9"/>
    </row>
    <row r="253" ht="15.75" customHeight="1">
      <c r="D253" s="8"/>
      <c r="E253" s="8"/>
      <c r="F253" s="9"/>
    </row>
    <row r="254" ht="15.75" customHeight="1">
      <c r="D254" s="8"/>
      <c r="E254" s="8"/>
      <c r="F254" s="9"/>
    </row>
    <row r="255" ht="15.75" customHeight="1">
      <c r="D255" s="8"/>
      <c r="E255" s="8"/>
      <c r="F255" s="9"/>
    </row>
    <row r="256" ht="15.75" customHeight="1">
      <c r="D256" s="8"/>
      <c r="E256" s="8"/>
      <c r="F256" s="9"/>
    </row>
    <row r="257" ht="15.75" customHeight="1">
      <c r="D257" s="8"/>
      <c r="E257" s="8"/>
      <c r="F257" s="9"/>
    </row>
    <row r="258" ht="15.75" customHeight="1">
      <c r="D258" s="8"/>
      <c r="E258" s="8"/>
      <c r="F258" s="9"/>
    </row>
    <row r="259" ht="15.75" customHeight="1">
      <c r="D259" s="8"/>
      <c r="E259" s="8"/>
      <c r="F259" s="9"/>
    </row>
    <row r="260" ht="15.75" customHeight="1">
      <c r="D260" s="8"/>
      <c r="E260" s="8"/>
      <c r="F260" s="9"/>
    </row>
    <row r="261" ht="15.75" customHeight="1">
      <c r="D261" s="8"/>
      <c r="E261" s="8"/>
      <c r="F261" s="9"/>
    </row>
    <row r="262" ht="15.75" customHeight="1">
      <c r="D262" s="8"/>
      <c r="E262" s="8"/>
      <c r="F262" s="9"/>
    </row>
    <row r="263" ht="15.75" customHeight="1">
      <c r="D263" s="8"/>
      <c r="E263" s="8"/>
      <c r="F263" s="9"/>
    </row>
    <row r="264" ht="15.75" customHeight="1">
      <c r="D264" s="8"/>
      <c r="E264" s="8"/>
      <c r="F264" s="9"/>
    </row>
    <row r="265" ht="15.75" customHeight="1">
      <c r="D265" s="8"/>
      <c r="E265" s="8"/>
      <c r="F265" s="9"/>
    </row>
    <row r="266" ht="15.75" customHeight="1">
      <c r="D266" s="8"/>
      <c r="E266" s="8"/>
      <c r="F266" s="9"/>
    </row>
    <row r="267" ht="15.75" customHeight="1">
      <c r="D267" s="8"/>
      <c r="E267" s="8"/>
      <c r="F267" s="9"/>
    </row>
    <row r="268" ht="15.75" customHeight="1">
      <c r="D268" s="8"/>
      <c r="E268" s="8"/>
      <c r="F268" s="9"/>
    </row>
    <row r="269" ht="15.75" customHeight="1">
      <c r="D269" s="8"/>
      <c r="E269" s="8"/>
      <c r="F269" s="9"/>
    </row>
    <row r="270" ht="15.75" customHeight="1">
      <c r="D270" s="8"/>
      <c r="E270" s="8"/>
      <c r="F270" s="9"/>
    </row>
    <row r="271" ht="15.75" customHeight="1">
      <c r="D271" s="8"/>
      <c r="E271" s="8"/>
      <c r="F271" s="9"/>
    </row>
    <row r="272" ht="15.75" customHeight="1">
      <c r="D272" s="8"/>
      <c r="E272" s="8"/>
      <c r="F272" s="9"/>
    </row>
    <row r="273" ht="15.75" customHeight="1">
      <c r="D273" s="8"/>
      <c r="E273" s="8"/>
      <c r="F273" s="9"/>
    </row>
    <row r="274" ht="15.75" customHeight="1">
      <c r="D274" s="8"/>
      <c r="E274" s="8"/>
      <c r="F274" s="9"/>
    </row>
    <row r="275" ht="15.75" customHeight="1">
      <c r="D275" s="8"/>
      <c r="E275" s="8"/>
      <c r="F275" s="9"/>
    </row>
    <row r="276" ht="15.75" customHeight="1">
      <c r="D276" s="8"/>
      <c r="E276" s="8"/>
      <c r="F276" s="9"/>
    </row>
    <row r="277" ht="15.75" customHeight="1">
      <c r="D277" s="8"/>
      <c r="E277" s="8"/>
      <c r="F277" s="9"/>
    </row>
    <row r="278" ht="15.75" customHeight="1">
      <c r="D278" s="8"/>
      <c r="E278" s="8"/>
      <c r="F278" s="9"/>
    </row>
    <row r="279" ht="15.75" customHeight="1">
      <c r="D279" s="8"/>
      <c r="E279" s="8"/>
      <c r="F279" s="9"/>
    </row>
    <row r="280" ht="15.75" customHeight="1">
      <c r="D280" s="8"/>
      <c r="E280" s="8"/>
      <c r="F280" s="9"/>
    </row>
    <row r="281" ht="15.75" customHeight="1">
      <c r="D281" s="8"/>
      <c r="E281" s="8"/>
      <c r="F281" s="9"/>
    </row>
    <row r="282" ht="15.75" customHeight="1">
      <c r="D282" s="8"/>
      <c r="E282" s="8"/>
      <c r="F282" s="9"/>
    </row>
    <row r="283" ht="15.75" customHeight="1">
      <c r="D283" s="8"/>
      <c r="E283" s="8"/>
      <c r="F283" s="9"/>
    </row>
    <row r="284" ht="15.75" customHeight="1">
      <c r="D284" s="8"/>
      <c r="E284" s="8"/>
      <c r="F284" s="9"/>
    </row>
    <row r="285" ht="15.75" customHeight="1">
      <c r="D285" s="8"/>
      <c r="E285" s="8"/>
      <c r="F285" s="9"/>
    </row>
    <row r="286" ht="15.75" customHeight="1">
      <c r="D286" s="8"/>
      <c r="E286" s="8"/>
      <c r="F286" s="9"/>
    </row>
    <row r="287" ht="15.75" customHeight="1">
      <c r="D287" s="8"/>
      <c r="E287" s="8"/>
      <c r="F287" s="9"/>
    </row>
    <row r="288" ht="15.75" customHeight="1">
      <c r="D288" s="8"/>
      <c r="E288" s="8"/>
      <c r="F288" s="9"/>
    </row>
    <row r="289" ht="15.75" customHeight="1">
      <c r="D289" s="8"/>
      <c r="E289" s="8"/>
      <c r="F289" s="9"/>
    </row>
    <row r="290" ht="15.75" customHeight="1">
      <c r="D290" s="8"/>
      <c r="E290" s="8"/>
      <c r="F290" s="9"/>
    </row>
    <row r="291" ht="15.75" customHeight="1">
      <c r="D291" s="8"/>
      <c r="E291" s="8"/>
      <c r="F291" s="9"/>
    </row>
    <row r="292" ht="15.75" customHeight="1">
      <c r="D292" s="8"/>
      <c r="E292" s="8"/>
      <c r="F292" s="9"/>
    </row>
    <row r="293" ht="15.75" customHeight="1">
      <c r="D293" s="8"/>
      <c r="E293" s="8"/>
      <c r="F293" s="9"/>
    </row>
    <row r="294" ht="15.75" customHeight="1">
      <c r="D294" s="8"/>
      <c r="E294" s="8"/>
      <c r="F294" s="9"/>
    </row>
    <row r="295" ht="15.75" customHeight="1">
      <c r="D295" s="8"/>
      <c r="E295" s="8"/>
      <c r="F295" s="9"/>
    </row>
    <row r="296" ht="15.75" customHeight="1">
      <c r="D296" s="8"/>
      <c r="E296" s="8"/>
      <c r="F296" s="9"/>
    </row>
    <row r="297" ht="15.75" customHeight="1">
      <c r="D297" s="8"/>
      <c r="E297" s="8"/>
      <c r="F297" s="9"/>
    </row>
    <row r="298" ht="15.75" customHeight="1">
      <c r="D298" s="8"/>
      <c r="E298" s="8"/>
      <c r="F298" s="9"/>
    </row>
    <row r="299" ht="15.75" customHeight="1">
      <c r="D299" s="8"/>
      <c r="E299" s="8"/>
      <c r="F299" s="9"/>
    </row>
    <row r="300" ht="15.75" customHeight="1">
      <c r="D300" s="8"/>
      <c r="E300" s="8"/>
      <c r="F300" s="9"/>
    </row>
    <row r="301" ht="15.75" customHeight="1">
      <c r="D301" s="8"/>
      <c r="E301" s="8"/>
      <c r="F301" s="9"/>
    </row>
    <row r="302" ht="15.75" customHeight="1">
      <c r="D302" s="8"/>
      <c r="E302" s="8"/>
      <c r="F302" s="9"/>
    </row>
    <row r="303" ht="15.75" customHeight="1">
      <c r="D303" s="8"/>
      <c r="E303" s="8"/>
      <c r="F303" s="9"/>
    </row>
    <row r="304" ht="15.75" customHeight="1">
      <c r="D304" s="8"/>
      <c r="E304" s="8"/>
      <c r="F304" s="9"/>
    </row>
    <row r="305" ht="15.75" customHeight="1">
      <c r="D305" s="8"/>
      <c r="E305" s="8"/>
      <c r="F305" s="9"/>
    </row>
    <row r="306" ht="15.75" customHeight="1">
      <c r="D306" s="8"/>
      <c r="E306" s="8"/>
      <c r="F306" s="9"/>
    </row>
    <row r="307" ht="15.75" customHeight="1">
      <c r="D307" s="8"/>
      <c r="E307" s="8"/>
      <c r="F307" s="9"/>
    </row>
    <row r="308" ht="15.75" customHeight="1">
      <c r="D308" s="8"/>
      <c r="E308" s="8"/>
      <c r="F308" s="9"/>
    </row>
    <row r="309" ht="15.75" customHeight="1">
      <c r="D309" s="8"/>
      <c r="E309" s="8"/>
      <c r="F309" s="9"/>
    </row>
    <row r="310" ht="15.75" customHeight="1">
      <c r="D310" s="8"/>
      <c r="E310" s="8"/>
      <c r="F310" s="9"/>
    </row>
    <row r="311" ht="15.75" customHeight="1">
      <c r="D311" s="8"/>
      <c r="E311" s="8"/>
      <c r="F311" s="9"/>
    </row>
    <row r="312" ht="15.75" customHeight="1">
      <c r="D312" s="8"/>
      <c r="E312" s="8"/>
      <c r="F312" s="9"/>
    </row>
    <row r="313" ht="15.75" customHeight="1">
      <c r="D313" s="8"/>
      <c r="E313" s="8"/>
      <c r="F313" s="9"/>
    </row>
    <row r="314" ht="15.75" customHeight="1">
      <c r="D314" s="8"/>
      <c r="E314" s="8"/>
      <c r="F314" s="9"/>
    </row>
    <row r="315" ht="15.75" customHeight="1">
      <c r="D315" s="8"/>
      <c r="E315" s="8"/>
      <c r="F315" s="9"/>
    </row>
    <row r="316" ht="15.75" customHeight="1">
      <c r="D316" s="8"/>
      <c r="E316" s="8"/>
      <c r="F316" s="9"/>
    </row>
    <row r="317" ht="15.75" customHeight="1">
      <c r="D317" s="8"/>
      <c r="E317" s="8"/>
      <c r="F317" s="9"/>
    </row>
    <row r="318" ht="15.75" customHeight="1">
      <c r="D318" s="8"/>
      <c r="E318" s="8"/>
      <c r="F318" s="9"/>
    </row>
    <row r="319" ht="15.75" customHeight="1">
      <c r="D319" s="8"/>
      <c r="E319" s="8"/>
      <c r="F319" s="9"/>
    </row>
    <row r="320" ht="15.75" customHeight="1">
      <c r="D320" s="8"/>
      <c r="E320" s="8"/>
      <c r="F320" s="9"/>
    </row>
    <row r="321" ht="15.75" customHeight="1">
      <c r="D321" s="8"/>
      <c r="E321" s="8"/>
      <c r="F321" s="9"/>
    </row>
    <row r="322" ht="15.75" customHeight="1">
      <c r="D322" s="8"/>
      <c r="E322" s="8"/>
      <c r="F322" s="9"/>
    </row>
    <row r="323" ht="15.75" customHeight="1">
      <c r="D323" s="8"/>
      <c r="E323" s="8"/>
      <c r="F323" s="9"/>
    </row>
    <row r="324" ht="15.75" customHeight="1">
      <c r="D324" s="8"/>
      <c r="E324" s="8"/>
      <c r="F324" s="9"/>
    </row>
    <row r="325" ht="15.75" customHeight="1">
      <c r="D325" s="8"/>
      <c r="E325" s="8"/>
      <c r="F325" s="9"/>
    </row>
    <row r="326" ht="15.75" customHeight="1">
      <c r="D326" s="8"/>
      <c r="E326" s="8"/>
      <c r="F326" s="9"/>
    </row>
    <row r="327" ht="15.75" customHeight="1">
      <c r="D327" s="8"/>
      <c r="E327" s="8"/>
      <c r="F327" s="9"/>
    </row>
    <row r="328" ht="15.75" customHeight="1">
      <c r="D328" s="8"/>
      <c r="E328" s="8"/>
      <c r="F328" s="9"/>
    </row>
    <row r="329" ht="15.75" customHeight="1">
      <c r="D329" s="8"/>
      <c r="E329" s="8"/>
      <c r="F329" s="9"/>
    </row>
    <row r="330" ht="15.75" customHeight="1">
      <c r="D330" s="8"/>
      <c r="E330" s="8"/>
      <c r="F330" s="9"/>
    </row>
    <row r="331" ht="15.75" customHeight="1">
      <c r="D331" s="8"/>
      <c r="E331" s="8"/>
      <c r="F331" s="9"/>
    </row>
    <row r="332" ht="15.75" customHeight="1">
      <c r="D332" s="8"/>
      <c r="E332" s="8"/>
      <c r="F332" s="9"/>
    </row>
    <row r="333" ht="15.75" customHeight="1">
      <c r="D333" s="8"/>
      <c r="E333" s="8"/>
      <c r="F333" s="9"/>
    </row>
    <row r="334" ht="15.75" customHeight="1">
      <c r="D334" s="8"/>
      <c r="E334" s="8"/>
      <c r="F334" s="9"/>
    </row>
    <row r="335" ht="15.75" customHeight="1">
      <c r="D335" s="8"/>
      <c r="E335" s="8"/>
      <c r="F335" s="9"/>
    </row>
    <row r="336" ht="15.75" customHeight="1">
      <c r="D336" s="8"/>
      <c r="E336" s="8"/>
      <c r="F336" s="9"/>
    </row>
    <row r="337" ht="15.75" customHeight="1">
      <c r="D337" s="8"/>
      <c r="E337" s="8"/>
      <c r="F337" s="9"/>
    </row>
    <row r="338" ht="15.75" customHeight="1">
      <c r="D338" s="8"/>
      <c r="E338" s="8"/>
      <c r="F338" s="9"/>
    </row>
    <row r="339" ht="15.75" customHeight="1">
      <c r="D339" s="8"/>
      <c r="E339" s="8"/>
      <c r="F339" s="9"/>
    </row>
    <row r="340" ht="15.75" customHeight="1">
      <c r="D340" s="8"/>
      <c r="E340" s="8"/>
      <c r="F340" s="9"/>
    </row>
    <row r="341" ht="15.75" customHeight="1">
      <c r="D341" s="8"/>
      <c r="E341" s="8"/>
      <c r="F341" s="9"/>
    </row>
    <row r="342" ht="15.75" customHeight="1">
      <c r="D342" s="8"/>
      <c r="E342" s="8"/>
      <c r="F342" s="9"/>
    </row>
    <row r="343" ht="15.75" customHeight="1">
      <c r="D343" s="8"/>
      <c r="E343" s="8"/>
      <c r="F343" s="9"/>
    </row>
    <row r="344" ht="15.75" customHeight="1">
      <c r="D344" s="8"/>
      <c r="E344" s="8"/>
      <c r="F344" s="9"/>
    </row>
    <row r="345" ht="15.75" customHeight="1">
      <c r="D345" s="8"/>
      <c r="E345" s="8"/>
      <c r="F345" s="9"/>
    </row>
    <row r="346" ht="15.75" customHeight="1">
      <c r="D346" s="8"/>
      <c r="E346" s="8"/>
      <c r="F346" s="9"/>
    </row>
    <row r="347" ht="15.75" customHeight="1">
      <c r="D347" s="8"/>
      <c r="E347" s="8"/>
      <c r="F347" s="9"/>
    </row>
    <row r="348" ht="15.75" customHeight="1">
      <c r="D348" s="8"/>
      <c r="E348" s="8"/>
      <c r="F348" s="9"/>
    </row>
    <row r="349" ht="15.75" customHeight="1">
      <c r="D349" s="8"/>
      <c r="E349" s="8"/>
      <c r="F349" s="9"/>
    </row>
    <row r="350" ht="15.75" customHeight="1">
      <c r="D350" s="8"/>
      <c r="E350" s="8"/>
      <c r="F350" s="9"/>
    </row>
    <row r="351" ht="15.75" customHeight="1">
      <c r="D351" s="8"/>
      <c r="E351" s="8"/>
      <c r="F351" s="9"/>
    </row>
    <row r="352" ht="15.75" customHeight="1">
      <c r="D352" s="8"/>
      <c r="E352" s="8"/>
      <c r="F352" s="9"/>
    </row>
    <row r="353" ht="15.75" customHeight="1">
      <c r="D353" s="8"/>
      <c r="E353" s="8"/>
      <c r="F353" s="9"/>
    </row>
    <row r="354" ht="15.75" customHeight="1">
      <c r="D354" s="8"/>
      <c r="E354" s="8"/>
      <c r="F354" s="9"/>
    </row>
    <row r="355" ht="15.75" customHeight="1">
      <c r="D355" s="8"/>
      <c r="E355" s="8"/>
      <c r="F355" s="9"/>
    </row>
    <row r="356" ht="15.75" customHeight="1">
      <c r="D356" s="8"/>
      <c r="E356" s="8"/>
      <c r="F356" s="9"/>
    </row>
    <row r="357" ht="15.75" customHeight="1">
      <c r="D357" s="8"/>
      <c r="E357" s="8"/>
      <c r="F357" s="9"/>
    </row>
    <row r="358" ht="15.75" customHeight="1">
      <c r="D358" s="8"/>
      <c r="E358" s="8"/>
      <c r="F358" s="9"/>
    </row>
    <row r="359" ht="15.75" customHeight="1">
      <c r="D359" s="8"/>
      <c r="E359" s="8"/>
      <c r="F359" s="9"/>
    </row>
    <row r="360" ht="15.75" customHeight="1">
      <c r="D360" s="8"/>
      <c r="E360" s="8"/>
      <c r="F360" s="9"/>
    </row>
    <row r="361" ht="15.75" customHeight="1">
      <c r="D361" s="8"/>
      <c r="E361" s="8"/>
      <c r="F361" s="9"/>
    </row>
    <row r="362" ht="15.75" customHeight="1">
      <c r="D362" s="8"/>
      <c r="E362" s="8"/>
      <c r="F362" s="9"/>
    </row>
    <row r="363" ht="15.75" customHeight="1">
      <c r="D363" s="8"/>
      <c r="E363" s="8"/>
      <c r="F363" s="9"/>
    </row>
    <row r="364" ht="15.75" customHeight="1">
      <c r="D364" s="8"/>
      <c r="E364" s="8"/>
      <c r="F364" s="9"/>
    </row>
    <row r="365" ht="15.75" customHeight="1">
      <c r="D365" s="8"/>
      <c r="E365" s="8"/>
      <c r="F365" s="9"/>
    </row>
    <row r="366" ht="15.75" customHeight="1">
      <c r="D366" s="8"/>
      <c r="E366" s="8"/>
      <c r="F366" s="9"/>
    </row>
    <row r="367" ht="15.75" customHeight="1">
      <c r="D367" s="8"/>
      <c r="E367" s="8"/>
      <c r="F367" s="9"/>
    </row>
    <row r="368" ht="15.75" customHeight="1">
      <c r="D368" s="8"/>
      <c r="E368" s="8"/>
      <c r="F368" s="9"/>
    </row>
    <row r="369" ht="15.75" customHeight="1">
      <c r="D369" s="8"/>
      <c r="E369" s="8"/>
      <c r="F369" s="9"/>
    </row>
    <row r="370" ht="15.75" customHeight="1">
      <c r="D370" s="8"/>
      <c r="E370" s="8"/>
      <c r="F370" s="9"/>
    </row>
    <row r="371" ht="15.75" customHeight="1">
      <c r="D371" s="8"/>
      <c r="E371" s="8"/>
      <c r="F371" s="9"/>
    </row>
    <row r="372" ht="15.75" customHeight="1">
      <c r="D372" s="8"/>
      <c r="E372" s="8"/>
      <c r="F372" s="9"/>
    </row>
    <row r="373" ht="15.75" customHeight="1">
      <c r="D373" s="8"/>
      <c r="E373" s="8"/>
      <c r="F373" s="9"/>
    </row>
    <row r="374" ht="15.75" customHeight="1">
      <c r="D374" s="8"/>
      <c r="E374" s="8"/>
      <c r="F374" s="9"/>
    </row>
    <row r="375" ht="15.75" customHeight="1">
      <c r="D375" s="8"/>
      <c r="E375" s="8"/>
      <c r="F375" s="9"/>
    </row>
    <row r="376" ht="15.75" customHeight="1">
      <c r="D376" s="8"/>
      <c r="E376" s="8"/>
      <c r="F376" s="9"/>
    </row>
    <row r="377" ht="15.75" customHeight="1">
      <c r="D377" s="8"/>
      <c r="E377" s="8"/>
      <c r="F377" s="9"/>
    </row>
    <row r="378" ht="15.75" customHeight="1">
      <c r="D378" s="8"/>
      <c r="E378" s="8"/>
      <c r="F378" s="9"/>
    </row>
    <row r="379" ht="15.75" customHeight="1">
      <c r="D379" s="8"/>
      <c r="E379" s="8"/>
      <c r="F379" s="9"/>
    </row>
    <row r="380" ht="15.75" customHeight="1">
      <c r="D380" s="8"/>
      <c r="E380" s="8"/>
      <c r="F380" s="9"/>
    </row>
    <row r="381" ht="15.75" customHeight="1">
      <c r="D381" s="8"/>
      <c r="E381" s="8"/>
      <c r="F381" s="9"/>
    </row>
    <row r="382" ht="15.75" customHeight="1">
      <c r="D382" s="8"/>
      <c r="E382" s="8"/>
      <c r="F382" s="9"/>
    </row>
    <row r="383" ht="15.75" customHeight="1">
      <c r="D383" s="8"/>
      <c r="E383" s="8"/>
      <c r="F383" s="9"/>
    </row>
    <row r="384" ht="15.75" customHeight="1">
      <c r="D384" s="8"/>
      <c r="E384" s="8"/>
      <c r="F384" s="9"/>
    </row>
    <row r="385" ht="15.75" customHeight="1">
      <c r="D385" s="8"/>
      <c r="E385" s="8"/>
      <c r="F385" s="9"/>
    </row>
    <row r="386" ht="15.75" customHeight="1">
      <c r="D386" s="8"/>
      <c r="E386" s="8"/>
      <c r="F386" s="9"/>
    </row>
    <row r="387" ht="15.75" customHeight="1">
      <c r="D387" s="8"/>
      <c r="E387" s="8"/>
      <c r="F387" s="9"/>
    </row>
    <row r="388" ht="15.75" customHeight="1">
      <c r="D388" s="8"/>
      <c r="E388" s="8"/>
      <c r="F388" s="9"/>
    </row>
    <row r="389" ht="15.75" customHeight="1">
      <c r="D389" s="8"/>
      <c r="E389" s="8"/>
      <c r="F389" s="9"/>
    </row>
    <row r="390" ht="15.75" customHeight="1">
      <c r="D390" s="8"/>
      <c r="E390" s="8"/>
      <c r="F390" s="9"/>
    </row>
    <row r="391" ht="15.75" customHeight="1">
      <c r="D391" s="8"/>
      <c r="E391" s="8"/>
      <c r="F391" s="9"/>
    </row>
    <row r="392" ht="15.75" customHeight="1">
      <c r="D392" s="8"/>
      <c r="E392" s="8"/>
      <c r="F392" s="9"/>
    </row>
    <row r="393" ht="15.75" customHeight="1">
      <c r="D393" s="8"/>
      <c r="E393" s="8"/>
      <c r="F393" s="9"/>
    </row>
    <row r="394" ht="15.75" customHeight="1">
      <c r="D394" s="8"/>
      <c r="E394" s="8"/>
      <c r="F394" s="9"/>
    </row>
    <row r="395" ht="15.75" customHeight="1">
      <c r="D395" s="8"/>
      <c r="E395" s="8"/>
      <c r="F395" s="9"/>
    </row>
    <row r="396" ht="15.75" customHeight="1">
      <c r="D396" s="8"/>
      <c r="E396" s="8"/>
      <c r="F396" s="9"/>
    </row>
    <row r="397" ht="15.75" customHeight="1">
      <c r="D397" s="8"/>
      <c r="E397" s="8"/>
      <c r="F397" s="9"/>
    </row>
    <row r="398" ht="15.75" customHeight="1">
      <c r="D398" s="8"/>
      <c r="E398" s="8"/>
      <c r="F398" s="9"/>
    </row>
    <row r="399" ht="15.75" customHeight="1">
      <c r="D399" s="8"/>
      <c r="E399" s="8"/>
      <c r="F399" s="9"/>
    </row>
    <row r="400" ht="15.75" customHeight="1">
      <c r="D400" s="8"/>
      <c r="E400" s="8"/>
      <c r="F400" s="9"/>
    </row>
    <row r="401" ht="15.75" customHeight="1">
      <c r="D401" s="8"/>
      <c r="E401" s="8"/>
      <c r="F401" s="9"/>
    </row>
    <row r="402" ht="15.75" customHeight="1">
      <c r="D402" s="8"/>
      <c r="E402" s="8"/>
      <c r="F402" s="9"/>
    </row>
    <row r="403" ht="15.75" customHeight="1">
      <c r="D403" s="8"/>
      <c r="E403" s="8"/>
      <c r="F403" s="9"/>
    </row>
    <row r="404" ht="15.75" customHeight="1">
      <c r="D404" s="8"/>
      <c r="E404" s="8"/>
      <c r="F404" s="9"/>
    </row>
    <row r="405" ht="15.75" customHeight="1">
      <c r="D405" s="8"/>
      <c r="E405" s="8"/>
      <c r="F405" s="9"/>
    </row>
    <row r="406" ht="15.75" customHeight="1">
      <c r="D406" s="8"/>
      <c r="E406" s="8"/>
      <c r="F406" s="9"/>
    </row>
    <row r="407" ht="15.75" customHeight="1">
      <c r="D407" s="8"/>
      <c r="E407" s="8"/>
      <c r="F407" s="9"/>
    </row>
    <row r="408" ht="15.75" customHeight="1">
      <c r="D408" s="8"/>
      <c r="E408" s="8"/>
      <c r="F408" s="9"/>
    </row>
    <row r="409" ht="15.75" customHeight="1">
      <c r="D409" s="8"/>
      <c r="E409" s="8"/>
      <c r="F409" s="9"/>
    </row>
    <row r="410" ht="15.75" customHeight="1">
      <c r="D410" s="8"/>
      <c r="E410" s="8"/>
      <c r="F410" s="9"/>
    </row>
    <row r="411" ht="15.75" customHeight="1">
      <c r="D411" s="8"/>
      <c r="E411" s="8"/>
      <c r="F411" s="9"/>
    </row>
    <row r="412" ht="15.75" customHeight="1">
      <c r="D412" s="8"/>
      <c r="E412" s="8"/>
      <c r="F412" s="9"/>
    </row>
    <row r="413" ht="15.75" customHeight="1">
      <c r="D413" s="8"/>
      <c r="E413" s="8"/>
      <c r="F413" s="9"/>
    </row>
    <row r="414" ht="15.75" customHeight="1">
      <c r="D414" s="8"/>
      <c r="E414" s="8"/>
      <c r="F414" s="9"/>
    </row>
    <row r="415" ht="15.75" customHeight="1">
      <c r="D415" s="8"/>
      <c r="E415" s="8"/>
      <c r="F415" s="9"/>
    </row>
    <row r="416" ht="15.75" customHeight="1">
      <c r="D416" s="8"/>
      <c r="E416" s="8"/>
      <c r="F416" s="9"/>
    </row>
    <row r="417" ht="15.75" customHeight="1">
      <c r="D417" s="8"/>
      <c r="E417" s="8"/>
      <c r="F417" s="9"/>
    </row>
    <row r="418" ht="15.75" customHeight="1">
      <c r="D418" s="8"/>
      <c r="E418" s="8"/>
      <c r="F418" s="9"/>
    </row>
    <row r="419" ht="15.75" customHeight="1">
      <c r="D419" s="8"/>
      <c r="E419" s="8"/>
      <c r="F419" s="9"/>
    </row>
    <row r="420" ht="15.75" customHeight="1">
      <c r="D420" s="8"/>
      <c r="E420" s="8"/>
      <c r="F420" s="9"/>
    </row>
    <row r="421" ht="15.75" customHeight="1">
      <c r="D421" s="8"/>
      <c r="E421" s="8"/>
      <c r="F421" s="9"/>
    </row>
    <row r="422" ht="15.75" customHeight="1">
      <c r="D422" s="8"/>
      <c r="E422" s="8"/>
      <c r="F422" s="9"/>
    </row>
    <row r="423" ht="15.75" customHeight="1">
      <c r="D423" s="8"/>
      <c r="E423" s="8"/>
      <c r="F423" s="9"/>
    </row>
    <row r="424" ht="15.75" customHeight="1">
      <c r="D424" s="8"/>
      <c r="E424" s="8"/>
      <c r="F424" s="9"/>
    </row>
    <row r="425" ht="15.75" customHeight="1">
      <c r="D425" s="8"/>
      <c r="E425" s="8"/>
      <c r="F425" s="9"/>
    </row>
    <row r="426" ht="15.75" customHeight="1">
      <c r="D426" s="8"/>
      <c r="E426" s="8"/>
      <c r="F426" s="9"/>
    </row>
    <row r="427" ht="15.75" customHeight="1">
      <c r="D427" s="8"/>
      <c r="E427" s="8"/>
      <c r="F427" s="9"/>
    </row>
    <row r="428" ht="15.75" customHeight="1">
      <c r="D428" s="8"/>
      <c r="E428" s="8"/>
      <c r="F428" s="9"/>
    </row>
    <row r="429" ht="15.75" customHeight="1">
      <c r="D429" s="8"/>
      <c r="E429" s="8"/>
      <c r="F429" s="9"/>
    </row>
    <row r="430" ht="15.75" customHeight="1">
      <c r="D430" s="8"/>
      <c r="E430" s="8"/>
      <c r="F430" s="9"/>
    </row>
    <row r="431" ht="15.75" customHeight="1">
      <c r="D431" s="8"/>
      <c r="E431" s="8"/>
      <c r="F431" s="9"/>
    </row>
    <row r="432" ht="15.75" customHeight="1">
      <c r="D432" s="8"/>
      <c r="E432" s="8"/>
      <c r="F432" s="9"/>
    </row>
    <row r="433" ht="15.75" customHeight="1">
      <c r="D433" s="8"/>
      <c r="E433" s="8"/>
      <c r="F433" s="9"/>
    </row>
    <row r="434" ht="15.75" customHeight="1">
      <c r="D434" s="8"/>
      <c r="E434" s="8"/>
      <c r="F434" s="9"/>
    </row>
    <row r="435" ht="15.75" customHeight="1">
      <c r="D435" s="8"/>
      <c r="E435" s="8"/>
      <c r="F435" s="9"/>
    </row>
    <row r="436" ht="15.75" customHeight="1">
      <c r="D436" s="8"/>
      <c r="E436" s="8"/>
      <c r="F436" s="9"/>
    </row>
    <row r="437" ht="15.75" customHeight="1">
      <c r="D437" s="8"/>
      <c r="E437" s="8"/>
      <c r="F437" s="9"/>
    </row>
    <row r="438" ht="15.75" customHeight="1">
      <c r="D438" s="8"/>
      <c r="E438" s="8"/>
      <c r="F438" s="9"/>
    </row>
    <row r="439" ht="15.75" customHeight="1">
      <c r="D439" s="8"/>
      <c r="E439" s="8"/>
      <c r="F439" s="9"/>
    </row>
    <row r="440" ht="15.75" customHeight="1">
      <c r="D440" s="8"/>
      <c r="E440" s="8"/>
      <c r="F440" s="9"/>
    </row>
    <row r="441" ht="15.75" customHeight="1">
      <c r="D441" s="8"/>
      <c r="E441" s="8"/>
      <c r="F441" s="9"/>
    </row>
    <row r="442" ht="15.75" customHeight="1">
      <c r="D442" s="8"/>
      <c r="E442" s="8"/>
      <c r="F442" s="9"/>
    </row>
    <row r="443" ht="15.75" customHeight="1">
      <c r="D443" s="8"/>
      <c r="E443" s="8"/>
      <c r="F443" s="9"/>
    </row>
    <row r="444" ht="15.75" customHeight="1">
      <c r="D444" s="8"/>
      <c r="E444" s="8"/>
      <c r="F444" s="9"/>
    </row>
    <row r="445" ht="15.75" customHeight="1">
      <c r="D445" s="8"/>
      <c r="E445" s="8"/>
      <c r="F445" s="9"/>
    </row>
    <row r="446" ht="15.75" customHeight="1">
      <c r="D446" s="8"/>
      <c r="E446" s="8"/>
      <c r="F446" s="9"/>
    </row>
    <row r="447" ht="15.75" customHeight="1">
      <c r="D447" s="8"/>
      <c r="E447" s="8"/>
      <c r="F447" s="9"/>
    </row>
    <row r="448" ht="15.75" customHeight="1">
      <c r="D448" s="8"/>
      <c r="E448" s="8"/>
      <c r="F448" s="9"/>
    </row>
    <row r="449" ht="15.75" customHeight="1">
      <c r="D449" s="8"/>
      <c r="E449" s="8"/>
      <c r="F449" s="9"/>
    </row>
    <row r="450" ht="15.75" customHeight="1">
      <c r="D450" s="8"/>
      <c r="E450" s="8"/>
      <c r="F450" s="9"/>
    </row>
    <row r="451" ht="15.75" customHeight="1">
      <c r="D451" s="8"/>
      <c r="E451" s="8"/>
      <c r="F451" s="9"/>
    </row>
    <row r="452" ht="15.75" customHeight="1">
      <c r="D452" s="8"/>
      <c r="E452" s="8"/>
      <c r="F452" s="9"/>
    </row>
    <row r="453" ht="15.75" customHeight="1">
      <c r="D453" s="8"/>
      <c r="E453" s="8"/>
      <c r="F453" s="9"/>
    </row>
    <row r="454" ht="15.75" customHeight="1">
      <c r="D454" s="8"/>
      <c r="E454" s="8"/>
      <c r="F454" s="9"/>
    </row>
    <row r="455" ht="15.75" customHeight="1">
      <c r="D455" s="8"/>
      <c r="E455" s="8"/>
      <c r="F455" s="9"/>
    </row>
    <row r="456" ht="15.75" customHeight="1">
      <c r="D456" s="8"/>
      <c r="E456" s="8"/>
      <c r="F456" s="9"/>
    </row>
    <row r="457" ht="15.75" customHeight="1">
      <c r="D457" s="8"/>
      <c r="E457" s="8"/>
      <c r="F457" s="9"/>
    </row>
    <row r="458" ht="15.75" customHeight="1">
      <c r="D458" s="8"/>
      <c r="E458" s="8"/>
      <c r="F458" s="9"/>
    </row>
    <row r="459" ht="15.75" customHeight="1">
      <c r="D459" s="8"/>
      <c r="E459" s="8"/>
      <c r="F459" s="9"/>
    </row>
    <row r="460" ht="15.75" customHeight="1">
      <c r="D460" s="8"/>
      <c r="E460" s="8"/>
      <c r="F460" s="9"/>
    </row>
    <row r="461" ht="15.75" customHeight="1">
      <c r="D461" s="8"/>
      <c r="E461" s="8"/>
      <c r="F461" s="9"/>
    </row>
    <row r="462" ht="15.75" customHeight="1">
      <c r="D462" s="8"/>
      <c r="E462" s="8"/>
      <c r="F462" s="9"/>
    </row>
    <row r="463" ht="15.75" customHeight="1">
      <c r="D463" s="8"/>
      <c r="E463" s="8"/>
      <c r="F463" s="9"/>
    </row>
    <row r="464" ht="15.75" customHeight="1">
      <c r="D464" s="8"/>
      <c r="E464" s="8"/>
      <c r="F464" s="9"/>
    </row>
    <row r="465" ht="15.75" customHeight="1">
      <c r="D465" s="8"/>
      <c r="E465" s="8"/>
      <c r="F465" s="9"/>
    </row>
    <row r="466" ht="15.75" customHeight="1">
      <c r="D466" s="8"/>
      <c r="E466" s="8"/>
      <c r="F466" s="9"/>
    </row>
    <row r="467" ht="15.75" customHeight="1">
      <c r="D467" s="8"/>
      <c r="E467" s="8"/>
      <c r="F467" s="9"/>
    </row>
    <row r="468" ht="15.75" customHeight="1">
      <c r="D468" s="8"/>
      <c r="E468" s="8"/>
      <c r="F468" s="9"/>
    </row>
    <row r="469" ht="15.75" customHeight="1">
      <c r="D469" s="8"/>
      <c r="E469" s="8"/>
      <c r="F469" s="9"/>
    </row>
    <row r="470" ht="15.75" customHeight="1">
      <c r="D470" s="8"/>
      <c r="E470" s="8"/>
      <c r="F470" s="9"/>
    </row>
    <row r="471" ht="15.75" customHeight="1">
      <c r="D471" s="8"/>
      <c r="E471" s="8"/>
      <c r="F471" s="9"/>
    </row>
    <row r="472" ht="15.75" customHeight="1">
      <c r="D472" s="8"/>
      <c r="E472" s="8"/>
      <c r="F472" s="9"/>
    </row>
    <row r="473" ht="15.75" customHeight="1">
      <c r="D473" s="8"/>
      <c r="E473" s="8"/>
      <c r="F473" s="9"/>
    </row>
    <row r="474" ht="15.75" customHeight="1">
      <c r="D474" s="8"/>
      <c r="E474" s="8"/>
      <c r="F474" s="9"/>
    </row>
    <row r="475" ht="15.75" customHeight="1">
      <c r="D475" s="8"/>
      <c r="E475" s="8"/>
      <c r="F475" s="9"/>
    </row>
    <row r="476" ht="15.75" customHeight="1">
      <c r="D476" s="8"/>
      <c r="E476" s="8"/>
      <c r="F476" s="9"/>
    </row>
    <row r="477" ht="15.75" customHeight="1">
      <c r="D477" s="8"/>
      <c r="E477" s="8"/>
      <c r="F477" s="9"/>
    </row>
    <row r="478" ht="15.75" customHeight="1">
      <c r="D478" s="8"/>
      <c r="E478" s="8"/>
      <c r="F478" s="9"/>
    </row>
    <row r="479" ht="15.75" customHeight="1">
      <c r="D479" s="8"/>
      <c r="E479" s="8"/>
      <c r="F479" s="9"/>
    </row>
    <row r="480" ht="15.75" customHeight="1">
      <c r="D480" s="8"/>
      <c r="E480" s="8"/>
      <c r="F480" s="9"/>
    </row>
    <row r="481" ht="15.75" customHeight="1">
      <c r="D481" s="8"/>
      <c r="E481" s="8"/>
      <c r="F481" s="9"/>
    </row>
    <row r="482" ht="15.75" customHeight="1">
      <c r="D482" s="8"/>
      <c r="E482" s="8"/>
      <c r="F482" s="9"/>
    </row>
    <row r="483" ht="15.75" customHeight="1">
      <c r="D483" s="8"/>
      <c r="E483" s="8"/>
      <c r="F483" s="9"/>
    </row>
    <row r="484" ht="15.75" customHeight="1">
      <c r="D484" s="8"/>
      <c r="E484" s="8"/>
      <c r="F484" s="9"/>
    </row>
    <row r="485" ht="15.75" customHeight="1">
      <c r="D485" s="8"/>
      <c r="E485" s="8"/>
      <c r="F485" s="9"/>
    </row>
    <row r="486" ht="15.75" customHeight="1">
      <c r="D486" s="8"/>
      <c r="E486" s="8"/>
      <c r="F486" s="9"/>
    </row>
    <row r="487" ht="15.75" customHeight="1">
      <c r="D487" s="8"/>
      <c r="E487" s="8"/>
      <c r="F487" s="9"/>
    </row>
    <row r="488" ht="15.75" customHeight="1">
      <c r="D488" s="8"/>
      <c r="E488" s="8"/>
      <c r="F488" s="9"/>
    </row>
    <row r="489" ht="15.75" customHeight="1">
      <c r="D489" s="8"/>
      <c r="E489" s="8"/>
      <c r="F489" s="9"/>
    </row>
    <row r="490" ht="15.75" customHeight="1">
      <c r="D490" s="8"/>
      <c r="E490" s="8"/>
      <c r="F490" s="9"/>
    </row>
    <row r="491" ht="15.75" customHeight="1">
      <c r="D491" s="8"/>
      <c r="E491" s="8"/>
      <c r="F491" s="9"/>
    </row>
    <row r="492" ht="15.75" customHeight="1">
      <c r="D492" s="8"/>
      <c r="E492" s="8"/>
      <c r="F492" s="9"/>
    </row>
    <row r="493" ht="15.75" customHeight="1">
      <c r="D493" s="8"/>
      <c r="E493" s="8"/>
      <c r="F493" s="9"/>
    </row>
    <row r="494" ht="15.75" customHeight="1">
      <c r="D494" s="8"/>
      <c r="E494" s="8"/>
      <c r="F494" s="9"/>
    </row>
    <row r="495" ht="15.75" customHeight="1">
      <c r="D495" s="8"/>
      <c r="E495" s="8"/>
      <c r="F495" s="9"/>
    </row>
    <row r="496" ht="15.75" customHeight="1">
      <c r="D496" s="8"/>
      <c r="E496" s="8"/>
      <c r="F496" s="9"/>
    </row>
    <row r="497" ht="15.75" customHeight="1">
      <c r="D497" s="8"/>
      <c r="E497" s="8"/>
      <c r="F497" s="9"/>
    </row>
    <row r="498" ht="15.75" customHeight="1">
      <c r="D498" s="8"/>
      <c r="E498" s="8"/>
      <c r="F498" s="9"/>
    </row>
    <row r="499" ht="15.75" customHeight="1">
      <c r="D499" s="8"/>
      <c r="E499" s="8"/>
      <c r="F499" s="9"/>
    </row>
    <row r="500" ht="15.75" customHeight="1">
      <c r="D500" s="8"/>
      <c r="E500" s="8"/>
      <c r="F500" s="9"/>
    </row>
    <row r="501" ht="15.75" customHeight="1">
      <c r="D501" s="8"/>
      <c r="E501" s="8"/>
      <c r="F501" s="9"/>
    </row>
    <row r="502" ht="15.75" customHeight="1">
      <c r="D502" s="8"/>
      <c r="E502" s="8"/>
      <c r="F502" s="9"/>
    </row>
    <row r="503" ht="15.75" customHeight="1">
      <c r="D503" s="8"/>
      <c r="E503" s="8"/>
      <c r="F503" s="9"/>
    </row>
    <row r="504" ht="15.75" customHeight="1">
      <c r="D504" s="8"/>
      <c r="E504" s="8"/>
      <c r="F504" s="9"/>
    </row>
    <row r="505" ht="15.75" customHeight="1">
      <c r="D505" s="8"/>
      <c r="E505" s="8"/>
      <c r="F505" s="9"/>
    </row>
    <row r="506" ht="15.75" customHeight="1">
      <c r="D506" s="8"/>
      <c r="E506" s="8"/>
      <c r="F506" s="9"/>
    </row>
    <row r="507" ht="15.75" customHeight="1">
      <c r="D507" s="8"/>
      <c r="E507" s="8"/>
      <c r="F507" s="9"/>
    </row>
    <row r="508" ht="15.75" customHeight="1">
      <c r="D508" s="8"/>
      <c r="E508" s="8"/>
      <c r="F508" s="9"/>
    </row>
    <row r="509" ht="15.75" customHeight="1">
      <c r="D509" s="8"/>
      <c r="E509" s="8"/>
      <c r="F509" s="9"/>
    </row>
    <row r="510" ht="15.75" customHeight="1">
      <c r="D510" s="8"/>
      <c r="E510" s="8"/>
      <c r="F510" s="9"/>
    </row>
    <row r="511" ht="15.75" customHeight="1">
      <c r="D511" s="8"/>
      <c r="E511" s="8"/>
      <c r="F511" s="9"/>
    </row>
    <row r="512" ht="15.75" customHeight="1">
      <c r="D512" s="8"/>
      <c r="E512" s="8"/>
      <c r="F512" s="9"/>
    </row>
    <row r="513" ht="15.75" customHeight="1">
      <c r="D513" s="8"/>
      <c r="E513" s="8"/>
      <c r="F513" s="9"/>
    </row>
    <row r="514" ht="15.75" customHeight="1">
      <c r="D514" s="8"/>
      <c r="E514" s="8"/>
      <c r="F514" s="9"/>
    </row>
    <row r="515" ht="15.75" customHeight="1">
      <c r="D515" s="8"/>
      <c r="E515" s="8"/>
      <c r="F515" s="9"/>
    </row>
    <row r="516" ht="15.75" customHeight="1">
      <c r="D516" s="8"/>
      <c r="E516" s="8"/>
      <c r="F516" s="9"/>
    </row>
    <row r="517" ht="15.75" customHeight="1">
      <c r="D517" s="8"/>
      <c r="E517" s="8"/>
      <c r="F517" s="9"/>
    </row>
    <row r="518" ht="15.75" customHeight="1">
      <c r="D518" s="8"/>
      <c r="E518" s="8"/>
      <c r="F518" s="9"/>
    </row>
    <row r="519" ht="15.75" customHeight="1">
      <c r="D519" s="8"/>
      <c r="E519" s="8"/>
      <c r="F519" s="9"/>
    </row>
    <row r="520" ht="15.75" customHeight="1">
      <c r="D520" s="8"/>
      <c r="E520" s="8"/>
      <c r="F520" s="9"/>
    </row>
    <row r="521" ht="15.75" customHeight="1">
      <c r="D521" s="8"/>
      <c r="E521" s="8"/>
      <c r="F521" s="9"/>
    </row>
    <row r="522" ht="15.75" customHeight="1">
      <c r="D522" s="8"/>
      <c r="E522" s="8"/>
      <c r="F522" s="9"/>
    </row>
    <row r="523" ht="15.75" customHeight="1">
      <c r="D523" s="8"/>
      <c r="E523" s="8"/>
      <c r="F523" s="9"/>
    </row>
    <row r="524" ht="15.75" customHeight="1">
      <c r="D524" s="8"/>
      <c r="E524" s="8"/>
      <c r="F524" s="9"/>
    </row>
    <row r="525" ht="15.75" customHeight="1">
      <c r="D525" s="8"/>
      <c r="E525" s="8"/>
      <c r="F525" s="9"/>
    </row>
    <row r="526" ht="15.75" customHeight="1">
      <c r="D526" s="8"/>
      <c r="E526" s="8"/>
      <c r="F526" s="9"/>
    </row>
    <row r="527" ht="15.75" customHeight="1">
      <c r="D527" s="8"/>
      <c r="E527" s="8"/>
      <c r="F527" s="9"/>
    </row>
    <row r="528" ht="15.75" customHeight="1">
      <c r="D528" s="8"/>
      <c r="E528" s="8"/>
      <c r="F528" s="9"/>
    </row>
    <row r="529" ht="15.75" customHeight="1">
      <c r="D529" s="8"/>
      <c r="E529" s="8"/>
      <c r="F529" s="9"/>
    </row>
    <row r="530" ht="15.75" customHeight="1">
      <c r="D530" s="8"/>
      <c r="E530" s="8"/>
      <c r="F530" s="9"/>
    </row>
    <row r="531" ht="15.75" customHeight="1">
      <c r="D531" s="8"/>
      <c r="E531" s="8"/>
      <c r="F531" s="9"/>
    </row>
    <row r="532" ht="15.75" customHeight="1">
      <c r="D532" s="8"/>
      <c r="E532" s="8"/>
      <c r="F532" s="9"/>
    </row>
    <row r="533" ht="15.75" customHeight="1">
      <c r="D533" s="8"/>
      <c r="E533" s="8"/>
      <c r="F533" s="9"/>
    </row>
    <row r="534" ht="15.75" customHeight="1">
      <c r="D534" s="8"/>
      <c r="E534" s="8"/>
      <c r="F534" s="9"/>
    </row>
    <row r="535" ht="15.75" customHeight="1">
      <c r="D535" s="8"/>
      <c r="E535" s="8"/>
      <c r="F535" s="9"/>
    </row>
    <row r="536" ht="15.75" customHeight="1">
      <c r="D536" s="8"/>
      <c r="E536" s="8"/>
      <c r="F536" s="9"/>
    </row>
    <row r="537" ht="15.75" customHeight="1">
      <c r="D537" s="8"/>
      <c r="E537" s="8"/>
      <c r="F537" s="9"/>
    </row>
    <row r="538" ht="15.75" customHeight="1">
      <c r="D538" s="8"/>
      <c r="E538" s="8"/>
      <c r="F538" s="9"/>
    </row>
    <row r="539" ht="15.75" customHeight="1">
      <c r="D539" s="8"/>
      <c r="E539" s="8"/>
      <c r="F539" s="9"/>
    </row>
    <row r="540" ht="15.75" customHeight="1">
      <c r="D540" s="8"/>
      <c r="E540" s="8"/>
      <c r="F540" s="9"/>
    </row>
    <row r="541" ht="15.75" customHeight="1">
      <c r="D541" s="8"/>
      <c r="E541" s="8"/>
      <c r="F541" s="9"/>
    </row>
    <row r="542" ht="15.75" customHeight="1">
      <c r="D542" s="8"/>
      <c r="E542" s="8"/>
      <c r="F542" s="9"/>
    </row>
    <row r="543" ht="15.75" customHeight="1">
      <c r="D543" s="8"/>
      <c r="E543" s="8"/>
      <c r="F543" s="9"/>
    </row>
    <row r="544" ht="15.75" customHeight="1">
      <c r="D544" s="8"/>
      <c r="E544" s="8"/>
      <c r="F544" s="9"/>
    </row>
    <row r="545" ht="15.75" customHeight="1">
      <c r="D545" s="8"/>
      <c r="E545" s="8"/>
      <c r="F545" s="9"/>
    </row>
    <row r="546" ht="15.75" customHeight="1">
      <c r="D546" s="8"/>
      <c r="E546" s="8"/>
      <c r="F546" s="9"/>
    </row>
    <row r="547" ht="15.75" customHeight="1">
      <c r="D547" s="8"/>
      <c r="E547" s="8"/>
      <c r="F547" s="9"/>
    </row>
    <row r="548" ht="15.75" customHeight="1">
      <c r="D548" s="8"/>
      <c r="E548" s="8"/>
      <c r="F548" s="9"/>
    </row>
    <row r="549" ht="15.75" customHeight="1">
      <c r="D549" s="8"/>
      <c r="E549" s="8"/>
      <c r="F549" s="9"/>
    </row>
    <row r="550" ht="15.75" customHeight="1">
      <c r="D550" s="8"/>
      <c r="E550" s="8"/>
      <c r="F550" s="9"/>
    </row>
    <row r="551" ht="15.75" customHeight="1">
      <c r="D551" s="8"/>
      <c r="E551" s="8"/>
      <c r="F551" s="9"/>
    </row>
    <row r="552" ht="15.75" customHeight="1">
      <c r="D552" s="8"/>
      <c r="E552" s="8"/>
      <c r="F552" s="9"/>
    </row>
    <row r="553" ht="15.75" customHeight="1">
      <c r="D553" s="8"/>
      <c r="E553" s="8"/>
      <c r="F553" s="9"/>
    </row>
    <row r="554" ht="15.75" customHeight="1">
      <c r="D554" s="8"/>
      <c r="E554" s="8"/>
      <c r="F554" s="9"/>
    </row>
    <row r="555" ht="15.75" customHeight="1">
      <c r="D555" s="8"/>
      <c r="E555" s="8"/>
      <c r="F555" s="9"/>
    </row>
    <row r="556" ht="15.75" customHeight="1">
      <c r="D556" s="8"/>
      <c r="E556" s="8"/>
      <c r="F556" s="9"/>
    </row>
    <row r="557" ht="15.75" customHeight="1">
      <c r="D557" s="8"/>
      <c r="E557" s="8"/>
      <c r="F557" s="9"/>
    </row>
    <row r="558" ht="15.75" customHeight="1">
      <c r="D558" s="8"/>
      <c r="E558" s="8"/>
      <c r="F558" s="9"/>
    </row>
    <row r="559" ht="15.75" customHeight="1">
      <c r="D559" s="8"/>
      <c r="E559" s="8"/>
      <c r="F559" s="9"/>
    </row>
    <row r="560" ht="15.75" customHeight="1">
      <c r="D560" s="8"/>
      <c r="E560" s="8"/>
      <c r="F560" s="9"/>
    </row>
    <row r="561" ht="15.75" customHeight="1">
      <c r="D561" s="8"/>
      <c r="E561" s="8"/>
      <c r="F561" s="9"/>
    </row>
    <row r="562" ht="15.75" customHeight="1">
      <c r="D562" s="8"/>
      <c r="E562" s="8"/>
      <c r="F562" s="9"/>
    </row>
    <row r="563" ht="15.75" customHeight="1">
      <c r="D563" s="8"/>
      <c r="E563" s="8"/>
      <c r="F563" s="9"/>
    </row>
    <row r="564" ht="15.75" customHeight="1">
      <c r="D564" s="8"/>
      <c r="E564" s="8"/>
      <c r="F564" s="9"/>
    </row>
    <row r="565" ht="15.75" customHeight="1">
      <c r="D565" s="8"/>
      <c r="E565" s="8"/>
      <c r="F565" s="9"/>
    </row>
    <row r="566" ht="15.75" customHeight="1">
      <c r="D566" s="8"/>
      <c r="E566" s="8"/>
      <c r="F566" s="9"/>
    </row>
    <row r="567" ht="15.75" customHeight="1">
      <c r="D567" s="8"/>
      <c r="E567" s="8"/>
      <c r="F567" s="9"/>
    </row>
    <row r="568" ht="15.75" customHeight="1">
      <c r="D568" s="8"/>
      <c r="E568" s="8"/>
      <c r="F568" s="9"/>
    </row>
    <row r="569" ht="15.75" customHeight="1">
      <c r="D569" s="8"/>
      <c r="E569" s="8"/>
      <c r="F569" s="9"/>
    </row>
    <row r="570" ht="15.75" customHeight="1">
      <c r="D570" s="8"/>
      <c r="E570" s="8"/>
      <c r="F570" s="9"/>
    </row>
    <row r="571" ht="15.75" customHeight="1">
      <c r="D571" s="8"/>
      <c r="E571" s="8"/>
      <c r="F571" s="9"/>
    </row>
    <row r="572" ht="15.75" customHeight="1">
      <c r="D572" s="8"/>
      <c r="E572" s="8"/>
      <c r="F572" s="9"/>
    </row>
    <row r="573" ht="15.75" customHeight="1">
      <c r="D573" s="8"/>
      <c r="E573" s="8"/>
      <c r="F573" s="9"/>
    </row>
    <row r="574" ht="15.75" customHeight="1">
      <c r="D574" s="8"/>
      <c r="E574" s="8"/>
      <c r="F574" s="9"/>
    </row>
    <row r="575" ht="15.75" customHeight="1">
      <c r="D575" s="8"/>
      <c r="E575" s="8"/>
      <c r="F575" s="9"/>
    </row>
    <row r="576" ht="15.75" customHeight="1">
      <c r="D576" s="8"/>
      <c r="E576" s="8"/>
      <c r="F576" s="9"/>
    </row>
    <row r="577" ht="15.75" customHeight="1">
      <c r="D577" s="8"/>
      <c r="E577" s="8"/>
      <c r="F577" s="9"/>
    </row>
    <row r="578" ht="15.75" customHeight="1">
      <c r="D578" s="8"/>
      <c r="E578" s="8"/>
      <c r="F578" s="9"/>
    </row>
    <row r="579" ht="15.75" customHeight="1">
      <c r="D579" s="8"/>
      <c r="E579" s="8"/>
      <c r="F579" s="9"/>
    </row>
    <row r="580" ht="15.75" customHeight="1">
      <c r="D580" s="8"/>
      <c r="E580" s="8"/>
      <c r="F580" s="9"/>
    </row>
    <row r="581" ht="15.75" customHeight="1">
      <c r="D581" s="8"/>
      <c r="E581" s="8"/>
      <c r="F581" s="9"/>
    </row>
    <row r="582" ht="15.75" customHeight="1">
      <c r="D582" s="8"/>
      <c r="E582" s="8"/>
      <c r="F582" s="9"/>
    </row>
    <row r="583" ht="15.75" customHeight="1">
      <c r="D583" s="8"/>
      <c r="E583" s="8"/>
      <c r="F583" s="9"/>
    </row>
    <row r="584" ht="15.75" customHeight="1">
      <c r="D584" s="8"/>
      <c r="E584" s="8"/>
      <c r="F584" s="9"/>
    </row>
    <row r="585" ht="15.75" customHeight="1">
      <c r="D585" s="8"/>
      <c r="E585" s="8"/>
      <c r="F585" s="9"/>
    </row>
    <row r="586" ht="15.75" customHeight="1">
      <c r="D586" s="8"/>
      <c r="E586" s="8"/>
      <c r="F586" s="9"/>
    </row>
    <row r="587" ht="15.75" customHeight="1">
      <c r="D587" s="8"/>
      <c r="E587" s="8"/>
      <c r="F587" s="9"/>
    </row>
    <row r="588" ht="15.75" customHeight="1">
      <c r="D588" s="8"/>
      <c r="E588" s="8"/>
      <c r="F588" s="9"/>
    </row>
    <row r="589" ht="15.75" customHeight="1">
      <c r="D589" s="8"/>
      <c r="E589" s="8"/>
      <c r="F589" s="9"/>
    </row>
    <row r="590" ht="15.75" customHeight="1">
      <c r="D590" s="8"/>
      <c r="E590" s="8"/>
      <c r="F590" s="9"/>
    </row>
    <row r="591" ht="15.75" customHeight="1">
      <c r="D591" s="8"/>
      <c r="E591" s="8"/>
      <c r="F591" s="9"/>
    </row>
    <row r="592" ht="15.75" customHeight="1">
      <c r="D592" s="8"/>
      <c r="E592" s="8"/>
      <c r="F592" s="9"/>
    </row>
    <row r="593" ht="15.75" customHeight="1">
      <c r="D593" s="8"/>
      <c r="E593" s="8"/>
      <c r="F593" s="9"/>
    </row>
    <row r="594" ht="15.75" customHeight="1">
      <c r="D594" s="8"/>
      <c r="E594" s="8"/>
      <c r="F594" s="9"/>
    </row>
    <row r="595" ht="15.75" customHeight="1">
      <c r="D595" s="8"/>
      <c r="E595" s="8"/>
      <c r="F595" s="9"/>
    </row>
    <row r="596" ht="15.75" customHeight="1">
      <c r="D596" s="8"/>
      <c r="E596" s="8"/>
      <c r="F596" s="9"/>
    </row>
    <row r="597" ht="15.75" customHeight="1">
      <c r="D597" s="8"/>
      <c r="E597" s="8"/>
      <c r="F597" s="9"/>
    </row>
    <row r="598" ht="15.75" customHeight="1">
      <c r="D598" s="8"/>
      <c r="E598" s="8"/>
      <c r="F598" s="9"/>
    </row>
    <row r="599" ht="15.75" customHeight="1">
      <c r="D599" s="8"/>
      <c r="E599" s="8"/>
      <c r="F599" s="9"/>
    </row>
    <row r="600" ht="15.75" customHeight="1">
      <c r="D600" s="8"/>
      <c r="E600" s="8"/>
      <c r="F600" s="9"/>
    </row>
    <row r="601" ht="15.75" customHeight="1">
      <c r="D601" s="8"/>
      <c r="E601" s="8"/>
      <c r="F601" s="9"/>
    </row>
    <row r="602" ht="15.75" customHeight="1">
      <c r="D602" s="8"/>
      <c r="E602" s="8"/>
      <c r="F602" s="9"/>
    </row>
    <row r="603" ht="15.75" customHeight="1">
      <c r="D603" s="8"/>
      <c r="E603" s="8"/>
      <c r="F603" s="9"/>
    </row>
    <row r="604" ht="15.75" customHeight="1">
      <c r="D604" s="8"/>
      <c r="E604" s="8"/>
      <c r="F604" s="9"/>
    </row>
    <row r="605" ht="15.75" customHeight="1">
      <c r="D605" s="8"/>
      <c r="E605" s="8"/>
      <c r="F605" s="9"/>
    </row>
    <row r="606" ht="15.75" customHeight="1">
      <c r="D606" s="8"/>
      <c r="E606" s="8"/>
      <c r="F606" s="9"/>
    </row>
    <row r="607" ht="15.75" customHeight="1">
      <c r="D607" s="8"/>
      <c r="E607" s="8"/>
      <c r="F607" s="9"/>
    </row>
    <row r="608" ht="15.75" customHeight="1">
      <c r="D608" s="8"/>
      <c r="E608" s="8"/>
      <c r="F608" s="9"/>
    </row>
    <row r="609" ht="15.75" customHeight="1">
      <c r="D609" s="8"/>
      <c r="E609" s="8"/>
      <c r="F609" s="9"/>
    </row>
    <row r="610" ht="15.75" customHeight="1">
      <c r="D610" s="8"/>
      <c r="E610" s="8"/>
      <c r="F610" s="9"/>
    </row>
    <row r="611" ht="15.75" customHeight="1">
      <c r="D611" s="8"/>
      <c r="E611" s="8"/>
      <c r="F611" s="9"/>
    </row>
    <row r="612" ht="15.75" customHeight="1">
      <c r="D612" s="8"/>
      <c r="E612" s="8"/>
      <c r="F612" s="9"/>
    </row>
    <row r="613" ht="15.75" customHeight="1">
      <c r="D613" s="8"/>
      <c r="E613" s="8"/>
      <c r="F613" s="9"/>
    </row>
    <row r="614" ht="15.75" customHeight="1">
      <c r="D614" s="8"/>
      <c r="E614" s="8"/>
      <c r="F614" s="9"/>
    </row>
    <row r="615" ht="15.75" customHeight="1">
      <c r="D615" s="8"/>
      <c r="E615" s="8"/>
      <c r="F615" s="9"/>
    </row>
    <row r="616" ht="15.75" customHeight="1">
      <c r="D616" s="8"/>
      <c r="E616" s="8"/>
      <c r="F616" s="9"/>
    </row>
    <row r="617" ht="15.75" customHeight="1">
      <c r="D617" s="8"/>
      <c r="E617" s="8"/>
      <c r="F617" s="9"/>
    </row>
    <row r="618" ht="15.75" customHeight="1">
      <c r="D618" s="8"/>
      <c r="E618" s="8"/>
      <c r="F618" s="9"/>
    </row>
    <row r="619" ht="15.75" customHeight="1">
      <c r="D619" s="8"/>
      <c r="E619" s="8"/>
      <c r="F619" s="9"/>
    </row>
    <row r="620" ht="15.75" customHeight="1">
      <c r="D620" s="8"/>
      <c r="E620" s="8"/>
      <c r="F620" s="9"/>
    </row>
    <row r="621" ht="15.75" customHeight="1">
      <c r="D621" s="8"/>
      <c r="E621" s="8"/>
      <c r="F621" s="9"/>
    </row>
    <row r="622" ht="15.75" customHeight="1">
      <c r="D622" s="8"/>
      <c r="E622" s="8"/>
      <c r="F622" s="9"/>
    </row>
    <row r="623" ht="15.75" customHeight="1">
      <c r="D623" s="8"/>
      <c r="E623" s="8"/>
      <c r="F623" s="9"/>
    </row>
    <row r="624" ht="15.75" customHeight="1">
      <c r="D624" s="8"/>
      <c r="E624" s="8"/>
      <c r="F624" s="9"/>
    </row>
    <row r="625" ht="15.75" customHeight="1">
      <c r="D625" s="8"/>
      <c r="E625" s="8"/>
      <c r="F625" s="9"/>
    </row>
    <row r="626" ht="15.75" customHeight="1">
      <c r="D626" s="8"/>
      <c r="E626" s="8"/>
      <c r="F626" s="9"/>
    </row>
    <row r="627" ht="15.75" customHeight="1">
      <c r="D627" s="8"/>
      <c r="E627" s="8"/>
      <c r="F627" s="9"/>
    </row>
    <row r="628" ht="15.75" customHeight="1">
      <c r="D628" s="8"/>
      <c r="E628" s="8"/>
      <c r="F628" s="9"/>
    </row>
    <row r="629" ht="15.75" customHeight="1">
      <c r="D629" s="8"/>
      <c r="E629" s="8"/>
      <c r="F629" s="9"/>
    </row>
    <row r="630" ht="15.75" customHeight="1">
      <c r="D630" s="8"/>
      <c r="E630" s="8"/>
      <c r="F630" s="9"/>
    </row>
    <row r="631" ht="15.75" customHeight="1">
      <c r="D631" s="8"/>
      <c r="E631" s="8"/>
      <c r="F631" s="9"/>
    </row>
    <row r="632" ht="15.75" customHeight="1">
      <c r="D632" s="8"/>
      <c r="E632" s="8"/>
      <c r="F632" s="9"/>
    </row>
    <row r="633" ht="15.75" customHeight="1">
      <c r="D633" s="8"/>
      <c r="E633" s="8"/>
      <c r="F633" s="9"/>
    </row>
    <row r="634" ht="15.75" customHeight="1">
      <c r="D634" s="8"/>
      <c r="E634" s="8"/>
      <c r="F634" s="9"/>
    </row>
    <row r="635" ht="15.75" customHeight="1">
      <c r="D635" s="8"/>
      <c r="E635" s="8"/>
      <c r="F635" s="9"/>
    </row>
    <row r="636" ht="15.75" customHeight="1">
      <c r="D636" s="8"/>
      <c r="E636" s="8"/>
      <c r="F636" s="9"/>
    </row>
    <row r="637" ht="15.75" customHeight="1">
      <c r="D637" s="8"/>
      <c r="E637" s="8"/>
      <c r="F637" s="9"/>
    </row>
    <row r="638" ht="15.75" customHeight="1">
      <c r="D638" s="8"/>
      <c r="E638" s="8"/>
      <c r="F638" s="9"/>
    </row>
    <row r="639" ht="15.75" customHeight="1">
      <c r="D639" s="8"/>
      <c r="E639" s="8"/>
      <c r="F639" s="9"/>
    </row>
    <row r="640" ht="15.75" customHeight="1">
      <c r="D640" s="8"/>
      <c r="E640" s="8"/>
      <c r="F640" s="9"/>
    </row>
    <row r="641" ht="15.75" customHeight="1">
      <c r="D641" s="8"/>
      <c r="E641" s="8"/>
      <c r="F641" s="9"/>
    </row>
    <row r="642" ht="15.75" customHeight="1">
      <c r="D642" s="8"/>
      <c r="E642" s="8"/>
      <c r="F642" s="9"/>
    </row>
    <row r="643" ht="15.75" customHeight="1">
      <c r="D643" s="8"/>
      <c r="E643" s="8"/>
      <c r="F643" s="9"/>
    </row>
    <row r="644" ht="15.75" customHeight="1">
      <c r="D644" s="8"/>
      <c r="E644" s="8"/>
      <c r="F644" s="9"/>
    </row>
    <row r="645" ht="15.75" customHeight="1">
      <c r="D645" s="8"/>
      <c r="E645" s="8"/>
      <c r="F645" s="9"/>
    </row>
    <row r="646" ht="15.75" customHeight="1">
      <c r="D646" s="8"/>
      <c r="E646" s="8"/>
      <c r="F646" s="9"/>
    </row>
    <row r="647" ht="15.75" customHeight="1">
      <c r="D647" s="8"/>
      <c r="E647" s="8"/>
      <c r="F647" s="9"/>
    </row>
    <row r="648" ht="15.75" customHeight="1">
      <c r="D648" s="8"/>
      <c r="E648" s="8"/>
      <c r="F648" s="9"/>
    </row>
    <row r="649" ht="15.75" customHeight="1">
      <c r="D649" s="8"/>
      <c r="E649" s="8"/>
      <c r="F649" s="9"/>
    </row>
    <row r="650" ht="15.75" customHeight="1">
      <c r="D650" s="8"/>
      <c r="E650" s="8"/>
      <c r="F650" s="9"/>
    </row>
    <row r="651" ht="15.75" customHeight="1">
      <c r="D651" s="8"/>
      <c r="E651" s="8"/>
      <c r="F651" s="9"/>
    </row>
    <row r="652" ht="15.75" customHeight="1">
      <c r="D652" s="8"/>
      <c r="E652" s="8"/>
      <c r="F652" s="9"/>
    </row>
    <row r="653" ht="15.75" customHeight="1">
      <c r="D653" s="8"/>
      <c r="E653" s="8"/>
      <c r="F653" s="9"/>
    </row>
    <row r="654" ht="15.75" customHeight="1">
      <c r="D654" s="8"/>
      <c r="E654" s="8"/>
      <c r="F654" s="9"/>
    </row>
    <row r="655" ht="15.75" customHeight="1">
      <c r="D655" s="8"/>
      <c r="E655" s="8"/>
      <c r="F655" s="9"/>
    </row>
    <row r="656" ht="15.75" customHeight="1">
      <c r="D656" s="8"/>
      <c r="E656" s="8"/>
      <c r="F656" s="9"/>
    </row>
    <row r="657" ht="15.75" customHeight="1">
      <c r="D657" s="8"/>
      <c r="E657" s="8"/>
      <c r="F657" s="9"/>
    </row>
    <row r="658" ht="15.75" customHeight="1">
      <c r="D658" s="8"/>
      <c r="E658" s="8"/>
      <c r="F658" s="9"/>
    </row>
    <row r="659" ht="15.75" customHeight="1">
      <c r="D659" s="8"/>
      <c r="E659" s="8"/>
      <c r="F659" s="9"/>
    </row>
    <row r="660" ht="15.75" customHeight="1">
      <c r="D660" s="8"/>
      <c r="E660" s="8"/>
      <c r="F660" s="9"/>
    </row>
    <row r="661" ht="15.75" customHeight="1">
      <c r="D661" s="8"/>
      <c r="E661" s="8"/>
      <c r="F661" s="9"/>
    </row>
    <row r="662" ht="15.75" customHeight="1">
      <c r="D662" s="8"/>
      <c r="E662" s="8"/>
      <c r="F662" s="9"/>
    </row>
    <row r="663" ht="15.75" customHeight="1">
      <c r="D663" s="8"/>
      <c r="E663" s="8"/>
      <c r="F663" s="9"/>
    </row>
    <row r="664" ht="15.75" customHeight="1">
      <c r="D664" s="8"/>
      <c r="E664" s="8"/>
      <c r="F664" s="9"/>
    </row>
    <row r="665" ht="15.75" customHeight="1">
      <c r="D665" s="8"/>
      <c r="E665" s="8"/>
      <c r="F665" s="9"/>
    </row>
    <row r="666" ht="15.75" customHeight="1">
      <c r="D666" s="8"/>
      <c r="E666" s="8"/>
      <c r="F666" s="9"/>
    </row>
    <row r="667" ht="15.75" customHeight="1">
      <c r="D667" s="8"/>
      <c r="E667" s="8"/>
      <c r="F667" s="9"/>
    </row>
    <row r="668" ht="15.75" customHeight="1">
      <c r="D668" s="8"/>
      <c r="E668" s="8"/>
      <c r="F668" s="9"/>
    </row>
    <row r="669" ht="15.75" customHeight="1">
      <c r="D669" s="8"/>
      <c r="E669" s="8"/>
      <c r="F669" s="9"/>
    </row>
    <row r="670" ht="15.75" customHeight="1">
      <c r="D670" s="8"/>
      <c r="E670" s="8"/>
      <c r="F670" s="9"/>
    </row>
    <row r="671" ht="15.75" customHeight="1">
      <c r="D671" s="8"/>
      <c r="E671" s="8"/>
      <c r="F671" s="9"/>
    </row>
    <row r="672" ht="15.75" customHeight="1">
      <c r="D672" s="8"/>
      <c r="E672" s="8"/>
      <c r="F672" s="9"/>
    </row>
    <row r="673" ht="15.75" customHeight="1">
      <c r="D673" s="8"/>
      <c r="E673" s="8"/>
      <c r="F673" s="9"/>
    </row>
    <row r="674" ht="15.75" customHeight="1">
      <c r="D674" s="8"/>
      <c r="E674" s="8"/>
      <c r="F674" s="9"/>
    </row>
    <row r="675" ht="15.75" customHeight="1">
      <c r="D675" s="8"/>
      <c r="E675" s="8"/>
      <c r="F675" s="9"/>
    </row>
    <row r="676" ht="15.75" customHeight="1">
      <c r="D676" s="8"/>
      <c r="E676" s="8"/>
      <c r="F676" s="9"/>
    </row>
    <row r="677" ht="15.75" customHeight="1">
      <c r="D677" s="8"/>
      <c r="E677" s="8"/>
      <c r="F677" s="9"/>
    </row>
    <row r="678" ht="15.75" customHeight="1">
      <c r="D678" s="8"/>
      <c r="E678" s="8"/>
      <c r="F678" s="9"/>
    </row>
    <row r="679" ht="15.75" customHeight="1">
      <c r="D679" s="8"/>
      <c r="E679" s="8"/>
      <c r="F679" s="9"/>
    </row>
    <row r="680" ht="15.75" customHeight="1">
      <c r="D680" s="8"/>
      <c r="E680" s="8"/>
      <c r="F680" s="9"/>
    </row>
    <row r="681" ht="15.75" customHeight="1">
      <c r="D681" s="8"/>
      <c r="E681" s="8"/>
      <c r="F681" s="9"/>
    </row>
    <row r="682" ht="15.75" customHeight="1">
      <c r="D682" s="8"/>
      <c r="E682" s="8"/>
      <c r="F682" s="9"/>
    </row>
    <row r="683" ht="15.75" customHeight="1">
      <c r="D683" s="8"/>
      <c r="E683" s="8"/>
      <c r="F683" s="9"/>
    </row>
    <row r="684" ht="15.75" customHeight="1">
      <c r="D684" s="8"/>
      <c r="E684" s="8"/>
      <c r="F684" s="9"/>
    </row>
    <row r="685" ht="15.75" customHeight="1">
      <c r="D685" s="8"/>
      <c r="E685" s="8"/>
      <c r="F685" s="9"/>
    </row>
    <row r="686" ht="15.75" customHeight="1">
      <c r="D686" s="8"/>
      <c r="E686" s="8"/>
      <c r="F686" s="9"/>
    </row>
    <row r="687" ht="15.75" customHeight="1">
      <c r="D687" s="8"/>
      <c r="E687" s="8"/>
      <c r="F687" s="9"/>
    </row>
    <row r="688" ht="15.75" customHeight="1">
      <c r="D688" s="8"/>
      <c r="E688" s="8"/>
      <c r="F688" s="9"/>
    </row>
    <row r="689" ht="15.75" customHeight="1">
      <c r="D689" s="8"/>
      <c r="E689" s="8"/>
      <c r="F689" s="9"/>
    </row>
    <row r="690" ht="15.75" customHeight="1">
      <c r="D690" s="8"/>
      <c r="E690" s="8"/>
      <c r="F690" s="9"/>
    </row>
    <row r="691" ht="15.75" customHeight="1">
      <c r="D691" s="8"/>
      <c r="E691" s="8"/>
      <c r="F691" s="9"/>
    </row>
    <row r="692" ht="15.75" customHeight="1">
      <c r="D692" s="8"/>
      <c r="E692" s="8"/>
      <c r="F692" s="9"/>
    </row>
    <row r="693" ht="15.75" customHeight="1">
      <c r="D693" s="8"/>
      <c r="E693" s="8"/>
      <c r="F693" s="9"/>
    </row>
    <row r="694" ht="15.75" customHeight="1">
      <c r="D694" s="8"/>
      <c r="E694" s="8"/>
      <c r="F694" s="9"/>
    </row>
    <row r="695" ht="15.75" customHeight="1">
      <c r="D695" s="8"/>
      <c r="E695" s="8"/>
      <c r="F695" s="9"/>
    </row>
    <row r="696" ht="15.75" customHeight="1">
      <c r="D696" s="8"/>
      <c r="E696" s="8"/>
      <c r="F696" s="9"/>
    </row>
    <row r="697" ht="15.75" customHeight="1">
      <c r="D697" s="8"/>
      <c r="E697" s="8"/>
      <c r="F697" s="9"/>
    </row>
    <row r="698" ht="15.75" customHeight="1">
      <c r="D698" s="8"/>
      <c r="E698" s="8"/>
      <c r="F698" s="9"/>
    </row>
    <row r="699" ht="15.75" customHeight="1">
      <c r="D699" s="8"/>
      <c r="E699" s="8"/>
      <c r="F699" s="9"/>
    </row>
    <row r="700" ht="15.75" customHeight="1">
      <c r="D700" s="8"/>
      <c r="E700" s="8"/>
      <c r="F700" s="9"/>
    </row>
    <row r="701" ht="15.75" customHeight="1">
      <c r="D701" s="8"/>
      <c r="E701" s="8"/>
      <c r="F701" s="9"/>
    </row>
    <row r="702" ht="15.75" customHeight="1">
      <c r="D702" s="8"/>
      <c r="E702" s="8"/>
      <c r="F702" s="9"/>
    </row>
    <row r="703" ht="15.75" customHeight="1">
      <c r="D703" s="8"/>
      <c r="E703" s="8"/>
      <c r="F703" s="9"/>
    </row>
    <row r="704" ht="15.75" customHeight="1">
      <c r="D704" s="8"/>
      <c r="E704" s="8"/>
      <c r="F704" s="9"/>
    </row>
    <row r="705" ht="15.75" customHeight="1">
      <c r="D705" s="8"/>
      <c r="E705" s="8"/>
      <c r="F705" s="9"/>
    </row>
    <row r="706" ht="15.75" customHeight="1">
      <c r="D706" s="8"/>
      <c r="E706" s="8"/>
      <c r="F706" s="9"/>
    </row>
    <row r="707" ht="15.75" customHeight="1">
      <c r="D707" s="8"/>
      <c r="E707" s="8"/>
      <c r="F707" s="9"/>
    </row>
    <row r="708" ht="15.75" customHeight="1">
      <c r="D708" s="8"/>
      <c r="E708" s="8"/>
      <c r="F708" s="9"/>
    </row>
    <row r="709" ht="15.75" customHeight="1">
      <c r="D709" s="8"/>
      <c r="E709" s="8"/>
      <c r="F709" s="9"/>
    </row>
    <row r="710" ht="15.75" customHeight="1">
      <c r="D710" s="8"/>
      <c r="E710" s="8"/>
      <c r="F710" s="9"/>
    </row>
    <row r="711" ht="15.75" customHeight="1">
      <c r="D711" s="8"/>
      <c r="E711" s="8"/>
      <c r="F711" s="9"/>
    </row>
    <row r="712" ht="15.75" customHeight="1">
      <c r="D712" s="8"/>
      <c r="E712" s="8"/>
      <c r="F712" s="9"/>
    </row>
    <row r="713" ht="15.75" customHeight="1">
      <c r="D713" s="8"/>
      <c r="E713" s="8"/>
      <c r="F713" s="9"/>
    </row>
    <row r="714" ht="15.75" customHeight="1">
      <c r="D714" s="8"/>
      <c r="E714" s="8"/>
      <c r="F714" s="9"/>
    </row>
    <row r="715" ht="15.75" customHeight="1">
      <c r="D715" s="8"/>
      <c r="E715" s="8"/>
      <c r="F715" s="9"/>
    </row>
    <row r="716" ht="15.75" customHeight="1">
      <c r="D716" s="8"/>
      <c r="E716" s="8"/>
      <c r="F716" s="9"/>
    </row>
    <row r="717" ht="15.75" customHeight="1">
      <c r="D717" s="8"/>
      <c r="E717" s="8"/>
      <c r="F717" s="9"/>
    </row>
    <row r="718" ht="15.75" customHeight="1">
      <c r="D718" s="8"/>
      <c r="E718" s="8"/>
      <c r="F718" s="9"/>
    </row>
    <row r="719" ht="15.75" customHeight="1">
      <c r="D719" s="8"/>
      <c r="E719" s="8"/>
      <c r="F719" s="9"/>
    </row>
    <row r="720" ht="15.75" customHeight="1">
      <c r="D720" s="8"/>
      <c r="E720" s="8"/>
      <c r="F720" s="9"/>
    </row>
    <row r="721" ht="15.75" customHeight="1">
      <c r="D721" s="8"/>
      <c r="E721" s="8"/>
      <c r="F721" s="9"/>
    </row>
    <row r="722" ht="15.75" customHeight="1">
      <c r="D722" s="8"/>
      <c r="E722" s="8"/>
      <c r="F722" s="9"/>
    </row>
    <row r="723" ht="15.75" customHeight="1">
      <c r="D723" s="8"/>
      <c r="E723" s="8"/>
      <c r="F723" s="9"/>
    </row>
    <row r="724" ht="15.75" customHeight="1">
      <c r="D724" s="8"/>
      <c r="E724" s="8"/>
      <c r="F724" s="9"/>
    </row>
    <row r="725" ht="15.75" customHeight="1">
      <c r="D725" s="8"/>
      <c r="E725" s="8"/>
      <c r="F725" s="9"/>
    </row>
    <row r="726" ht="15.75" customHeight="1">
      <c r="D726" s="8"/>
      <c r="E726" s="8"/>
      <c r="F726" s="9"/>
    </row>
    <row r="727" ht="15.75" customHeight="1">
      <c r="D727" s="8"/>
      <c r="E727" s="8"/>
      <c r="F727" s="9"/>
    </row>
    <row r="728" ht="15.75" customHeight="1">
      <c r="D728" s="8"/>
      <c r="E728" s="8"/>
      <c r="F728" s="9"/>
    </row>
    <row r="729" ht="15.75" customHeight="1">
      <c r="D729" s="8"/>
      <c r="E729" s="8"/>
      <c r="F729" s="9"/>
    </row>
    <row r="730" ht="15.75" customHeight="1">
      <c r="D730" s="8"/>
      <c r="E730" s="8"/>
      <c r="F730" s="9"/>
    </row>
    <row r="731" ht="15.75" customHeight="1">
      <c r="D731" s="8"/>
      <c r="E731" s="8"/>
      <c r="F731" s="9"/>
    </row>
    <row r="732" ht="15.75" customHeight="1">
      <c r="D732" s="8"/>
      <c r="E732" s="8"/>
      <c r="F732" s="9"/>
    </row>
    <row r="733" ht="15.75" customHeight="1">
      <c r="D733" s="8"/>
      <c r="E733" s="8"/>
      <c r="F733" s="9"/>
    </row>
    <row r="734" ht="15.75" customHeight="1">
      <c r="D734" s="8"/>
      <c r="E734" s="8"/>
      <c r="F734" s="9"/>
    </row>
    <row r="735" ht="15.75" customHeight="1">
      <c r="D735" s="8"/>
      <c r="E735" s="8"/>
      <c r="F735" s="9"/>
    </row>
    <row r="736" ht="15.75" customHeight="1">
      <c r="D736" s="8"/>
      <c r="E736" s="8"/>
      <c r="F736" s="9"/>
    </row>
    <row r="737" ht="15.75" customHeight="1">
      <c r="D737" s="8"/>
      <c r="E737" s="8"/>
      <c r="F737" s="9"/>
    </row>
    <row r="738" ht="15.75" customHeight="1">
      <c r="D738" s="8"/>
      <c r="E738" s="8"/>
      <c r="F738" s="9"/>
    </row>
    <row r="739" ht="15.75" customHeight="1">
      <c r="D739" s="8"/>
      <c r="E739" s="8"/>
      <c r="F739" s="9"/>
    </row>
    <row r="740" ht="15.75" customHeight="1">
      <c r="D740" s="8"/>
      <c r="E740" s="8"/>
      <c r="F740" s="9"/>
    </row>
    <row r="741" ht="15.75" customHeight="1">
      <c r="D741" s="8"/>
      <c r="E741" s="8"/>
      <c r="F741" s="9"/>
    </row>
    <row r="742" ht="15.75" customHeight="1">
      <c r="D742" s="8"/>
      <c r="E742" s="8"/>
      <c r="F742" s="9"/>
    </row>
    <row r="743" ht="15.75" customHeight="1">
      <c r="D743" s="8"/>
      <c r="E743" s="8"/>
      <c r="F743" s="9"/>
    </row>
    <row r="744" ht="15.75" customHeight="1">
      <c r="D744" s="8"/>
      <c r="E744" s="8"/>
      <c r="F744" s="9"/>
    </row>
    <row r="745" ht="15.75" customHeight="1">
      <c r="D745" s="8"/>
      <c r="E745" s="8"/>
      <c r="F745" s="9"/>
    </row>
    <row r="746" ht="15.75" customHeight="1">
      <c r="D746" s="8"/>
      <c r="E746" s="8"/>
      <c r="F746" s="9"/>
    </row>
    <row r="747" ht="15.75" customHeight="1">
      <c r="D747" s="8"/>
      <c r="E747" s="8"/>
      <c r="F747" s="9"/>
    </row>
    <row r="748" ht="15.75" customHeight="1">
      <c r="D748" s="8"/>
      <c r="E748" s="8"/>
      <c r="F748" s="9"/>
    </row>
    <row r="749" ht="15.75" customHeight="1">
      <c r="D749" s="8"/>
      <c r="E749" s="8"/>
      <c r="F749" s="9"/>
    </row>
    <row r="750" ht="15.75" customHeight="1">
      <c r="D750" s="8"/>
      <c r="E750" s="8"/>
      <c r="F750" s="9"/>
    </row>
    <row r="751" ht="15.75" customHeight="1">
      <c r="D751" s="8"/>
      <c r="E751" s="8"/>
      <c r="F751" s="9"/>
    </row>
    <row r="752" ht="15.75" customHeight="1">
      <c r="D752" s="8"/>
      <c r="E752" s="8"/>
      <c r="F752" s="9"/>
    </row>
    <row r="753" ht="15.75" customHeight="1">
      <c r="D753" s="8"/>
      <c r="E753" s="8"/>
      <c r="F753" s="9"/>
    </row>
    <row r="754" ht="15.75" customHeight="1">
      <c r="D754" s="8"/>
      <c r="E754" s="8"/>
      <c r="F754" s="9"/>
    </row>
    <row r="755" ht="15.75" customHeight="1">
      <c r="D755" s="8"/>
      <c r="E755" s="8"/>
      <c r="F755" s="9"/>
    </row>
    <row r="756" ht="15.75" customHeight="1">
      <c r="D756" s="8"/>
      <c r="E756" s="8"/>
      <c r="F756" s="9"/>
    </row>
    <row r="757" ht="15.75" customHeight="1">
      <c r="D757" s="8"/>
      <c r="E757" s="8"/>
      <c r="F757" s="9"/>
    </row>
    <row r="758" ht="15.75" customHeight="1">
      <c r="D758" s="8"/>
      <c r="E758" s="8"/>
      <c r="F758" s="9"/>
    </row>
    <row r="759" ht="15.75" customHeight="1">
      <c r="D759" s="8"/>
      <c r="E759" s="8"/>
      <c r="F759" s="9"/>
    </row>
    <row r="760" ht="15.75" customHeight="1">
      <c r="D760" s="8"/>
      <c r="E760" s="8"/>
      <c r="F760" s="9"/>
    </row>
    <row r="761" ht="15.75" customHeight="1">
      <c r="D761" s="8"/>
      <c r="E761" s="8"/>
      <c r="F761" s="9"/>
    </row>
    <row r="762" ht="15.75" customHeight="1">
      <c r="D762" s="8"/>
      <c r="E762" s="8"/>
      <c r="F762" s="9"/>
    </row>
    <row r="763" ht="15.75" customHeight="1">
      <c r="D763" s="8"/>
      <c r="E763" s="8"/>
      <c r="F763" s="9"/>
    </row>
    <row r="764" ht="15.75" customHeight="1">
      <c r="D764" s="8"/>
      <c r="E764" s="8"/>
      <c r="F764" s="9"/>
    </row>
    <row r="765" ht="15.75" customHeight="1">
      <c r="D765" s="8"/>
      <c r="E765" s="8"/>
      <c r="F765" s="9"/>
    </row>
    <row r="766" ht="15.75" customHeight="1">
      <c r="D766" s="8"/>
      <c r="E766" s="8"/>
      <c r="F766" s="9"/>
    </row>
    <row r="767" ht="15.75" customHeight="1">
      <c r="D767" s="8"/>
      <c r="E767" s="8"/>
      <c r="F767" s="9"/>
    </row>
    <row r="768" ht="15.75" customHeight="1">
      <c r="D768" s="8"/>
      <c r="E768" s="8"/>
      <c r="F768" s="9"/>
    </row>
    <row r="769" ht="15.75" customHeight="1">
      <c r="D769" s="8"/>
      <c r="E769" s="8"/>
      <c r="F769" s="9"/>
    </row>
    <row r="770" ht="15.75" customHeight="1">
      <c r="D770" s="8"/>
      <c r="E770" s="8"/>
      <c r="F770" s="9"/>
    </row>
    <row r="771" ht="15.75" customHeight="1">
      <c r="D771" s="8"/>
      <c r="E771" s="8"/>
      <c r="F771" s="9"/>
    </row>
    <row r="772" ht="15.75" customHeight="1">
      <c r="D772" s="8"/>
      <c r="E772" s="8"/>
      <c r="F772" s="9"/>
    </row>
    <row r="773" ht="15.75" customHeight="1">
      <c r="D773" s="8"/>
      <c r="E773" s="8"/>
      <c r="F773" s="9"/>
    </row>
    <row r="774" ht="15.75" customHeight="1">
      <c r="D774" s="8"/>
      <c r="E774" s="8"/>
      <c r="F774" s="9"/>
    </row>
    <row r="775" ht="15.75" customHeight="1">
      <c r="D775" s="8"/>
      <c r="E775" s="8"/>
      <c r="F775" s="9"/>
    </row>
    <row r="776" ht="15.75" customHeight="1">
      <c r="D776" s="8"/>
      <c r="E776" s="8"/>
      <c r="F776" s="9"/>
    </row>
    <row r="777" ht="15.75" customHeight="1">
      <c r="D777" s="8"/>
      <c r="E777" s="8"/>
      <c r="F777" s="9"/>
    </row>
    <row r="778" ht="15.75" customHeight="1">
      <c r="D778" s="8"/>
      <c r="E778" s="8"/>
      <c r="F778" s="9"/>
    </row>
    <row r="779" ht="15.75" customHeight="1">
      <c r="D779" s="8"/>
      <c r="E779" s="8"/>
      <c r="F779" s="9"/>
    </row>
    <row r="780" ht="15.75" customHeight="1">
      <c r="D780" s="8"/>
      <c r="E780" s="8"/>
      <c r="F780" s="9"/>
    </row>
    <row r="781" ht="15.75" customHeight="1">
      <c r="D781" s="8"/>
      <c r="E781" s="8"/>
      <c r="F781" s="9"/>
    </row>
    <row r="782" ht="15.75" customHeight="1">
      <c r="D782" s="8"/>
      <c r="E782" s="8"/>
      <c r="F782" s="9"/>
    </row>
    <row r="783" ht="15.75" customHeight="1">
      <c r="D783" s="8"/>
      <c r="E783" s="8"/>
      <c r="F783" s="9"/>
    </row>
    <row r="784" ht="15.75" customHeight="1">
      <c r="D784" s="8"/>
      <c r="E784" s="8"/>
      <c r="F784" s="9"/>
    </row>
    <row r="785" ht="15.75" customHeight="1">
      <c r="D785" s="8"/>
      <c r="E785" s="8"/>
      <c r="F785" s="9"/>
    </row>
    <row r="786" ht="15.75" customHeight="1">
      <c r="D786" s="8"/>
      <c r="E786" s="8"/>
      <c r="F786" s="9"/>
    </row>
    <row r="787" ht="15.75" customHeight="1">
      <c r="D787" s="8"/>
      <c r="E787" s="8"/>
      <c r="F787" s="9"/>
    </row>
    <row r="788" ht="15.75" customHeight="1">
      <c r="D788" s="8"/>
      <c r="E788" s="8"/>
      <c r="F788" s="9"/>
    </row>
    <row r="789" ht="15.75" customHeight="1">
      <c r="D789" s="8"/>
      <c r="E789" s="8"/>
      <c r="F789" s="9"/>
    </row>
    <row r="790" ht="15.75" customHeight="1">
      <c r="D790" s="8"/>
      <c r="E790" s="8"/>
      <c r="F790" s="9"/>
    </row>
    <row r="791" ht="15.75" customHeight="1">
      <c r="D791" s="8"/>
      <c r="E791" s="8"/>
      <c r="F791" s="9"/>
    </row>
    <row r="792" ht="15.75" customHeight="1">
      <c r="D792" s="8"/>
      <c r="E792" s="8"/>
      <c r="F792" s="9"/>
    </row>
    <row r="793" ht="15.75" customHeight="1">
      <c r="D793" s="8"/>
      <c r="E793" s="8"/>
      <c r="F793" s="9"/>
    </row>
    <row r="794" ht="15.75" customHeight="1">
      <c r="D794" s="8"/>
      <c r="E794" s="8"/>
      <c r="F794" s="9"/>
    </row>
    <row r="795" ht="15.75" customHeight="1">
      <c r="D795" s="8"/>
      <c r="E795" s="8"/>
      <c r="F795" s="9"/>
    </row>
    <row r="796" ht="15.75" customHeight="1">
      <c r="D796" s="8"/>
      <c r="E796" s="8"/>
      <c r="F796" s="9"/>
    </row>
    <row r="797" ht="15.75" customHeight="1">
      <c r="D797" s="8"/>
      <c r="E797" s="8"/>
      <c r="F797" s="9"/>
    </row>
    <row r="798" ht="15.75" customHeight="1">
      <c r="D798" s="8"/>
      <c r="E798" s="8"/>
      <c r="F798" s="9"/>
    </row>
    <row r="799" ht="15.75" customHeight="1">
      <c r="D799" s="8"/>
      <c r="E799" s="8"/>
      <c r="F799" s="9"/>
    </row>
    <row r="800" ht="15.75" customHeight="1">
      <c r="D800" s="8"/>
      <c r="E800" s="8"/>
      <c r="F800" s="9"/>
    </row>
    <row r="801" ht="15.75" customHeight="1">
      <c r="D801" s="8"/>
      <c r="E801" s="8"/>
      <c r="F801" s="9"/>
    </row>
    <row r="802" ht="15.75" customHeight="1">
      <c r="D802" s="8"/>
      <c r="E802" s="8"/>
      <c r="F802" s="9"/>
    </row>
    <row r="803" ht="15.75" customHeight="1">
      <c r="D803" s="8"/>
      <c r="E803" s="8"/>
      <c r="F803" s="9"/>
    </row>
    <row r="804" ht="15.75" customHeight="1">
      <c r="D804" s="8"/>
      <c r="E804" s="8"/>
      <c r="F804" s="9"/>
    </row>
    <row r="805" ht="15.75" customHeight="1">
      <c r="D805" s="8"/>
      <c r="E805" s="8"/>
      <c r="F805" s="9"/>
    </row>
    <row r="806" ht="15.75" customHeight="1">
      <c r="D806" s="8"/>
      <c r="E806" s="8"/>
      <c r="F806" s="9"/>
    </row>
    <row r="807" ht="15.75" customHeight="1">
      <c r="D807" s="8"/>
      <c r="E807" s="8"/>
      <c r="F807" s="9"/>
    </row>
    <row r="808" ht="15.75" customHeight="1">
      <c r="D808" s="8"/>
      <c r="E808" s="8"/>
      <c r="F808" s="9"/>
    </row>
    <row r="809" ht="15.75" customHeight="1">
      <c r="D809" s="8"/>
      <c r="E809" s="8"/>
      <c r="F809" s="9"/>
    </row>
    <row r="810" ht="15.75" customHeight="1">
      <c r="D810" s="8"/>
      <c r="E810" s="8"/>
      <c r="F810" s="9"/>
    </row>
    <row r="811" ht="15.75" customHeight="1">
      <c r="D811" s="8"/>
      <c r="E811" s="8"/>
      <c r="F811" s="9"/>
    </row>
    <row r="812" ht="15.75" customHeight="1">
      <c r="D812" s="8"/>
      <c r="E812" s="8"/>
      <c r="F812" s="9"/>
    </row>
    <row r="813" ht="15.75" customHeight="1">
      <c r="D813" s="8"/>
      <c r="E813" s="8"/>
      <c r="F813" s="9"/>
    </row>
    <row r="814" ht="15.75" customHeight="1">
      <c r="D814" s="8"/>
      <c r="E814" s="8"/>
      <c r="F814" s="9"/>
    </row>
    <row r="815" ht="15.75" customHeight="1">
      <c r="D815" s="8"/>
      <c r="E815" s="8"/>
      <c r="F815" s="9"/>
    </row>
    <row r="816" ht="15.75" customHeight="1">
      <c r="D816" s="8"/>
      <c r="E816" s="8"/>
      <c r="F816" s="9"/>
    </row>
    <row r="817" ht="15.75" customHeight="1">
      <c r="D817" s="8"/>
      <c r="E817" s="8"/>
      <c r="F817" s="9"/>
    </row>
    <row r="818" ht="15.75" customHeight="1">
      <c r="D818" s="8"/>
      <c r="E818" s="8"/>
      <c r="F818" s="9"/>
    </row>
    <row r="819" ht="15.75" customHeight="1">
      <c r="D819" s="8"/>
      <c r="E819" s="8"/>
      <c r="F819" s="9"/>
    </row>
    <row r="820" ht="15.75" customHeight="1">
      <c r="D820" s="8"/>
      <c r="E820" s="8"/>
      <c r="F820" s="9"/>
    </row>
    <row r="821" ht="15.75" customHeight="1">
      <c r="D821" s="8"/>
      <c r="E821" s="8"/>
      <c r="F821" s="9"/>
    </row>
    <row r="822" ht="15.75" customHeight="1">
      <c r="D822" s="8"/>
      <c r="E822" s="8"/>
      <c r="F822" s="9"/>
    </row>
    <row r="823" ht="15.75" customHeight="1">
      <c r="D823" s="8"/>
      <c r="E823" s="8"/>
      <c r="F823" s="9"/>
    </row>
    <row r="824" ht="15.75" customHeight="1">
      <c r="D824" s="8"/>
      <c r="E824" s="8"/>
      <c r="F824" s="9"/>
    </row>
    <row r="825" ht="15.75" customHeight="1">
      <c r="D825" s="8"/>
      <c r="E825" s="8"/>
      <c r="F825" s="9"/>
    </row>
    <row r="826" ht="15.75" customHeight="1">
      <c r="D826" s="8"/>
      <c r="E826" s="8"/>
      <c r="F826" s="9"/>
    </row>
    <row r="827" ht="15.75" customHeight="1">
      <c r="D827" s="8"/>
      <c r="E827" s="8"/>
      <c r="F827" s="9"/>
    </row>
    <row r="828" ht="15.75" customHeight="1">
      <c r="D828" s="8"/>
      <c r="E828" s="8"/>
      <c r="F828" s="9"/>
    </row>
    <row r="829" ht="15.75" customHeight="1">
      <c r="D829" s="8"/>
      <c r="E829" s="8"/>
      <c r="F829" s="9"/>
    </row>
    <row r="830" ht="15.75" customHeight="1">
      <c r="D830" s="8"/>
      <c r="E830" s="8"/>
      <c r="F830" s="9"/>
    </row>
    <row r="831" ht="15.75" customHeight="1">
      <c r="D831" s="8"/>
      <c r="E831" s="8"/>
      <c r="F831" s="9"/>
    </row>
    <row r="832" ht="15.75" customHeight="1">
      <c r="D832" s="8"/>
      <c r="E832" s="8"/>
      <c r="F832" s="9"/>
    </row>
    <row r="833" ht="15.75" customHeight="1">
      <c r="D833" s="8"/>
      <c r="E833" s="8"/>
      <c r="F833" s="9"/>
    </row>
    <row r="834" ht="15.75" customHeight="1">
      <c r="D834" s="8"/>
      <c r="E834" s="8"/>
      <c r="F834" s="9"/>
    </row>
    <row r="835" ht="15.75" customHeight="1">
      <c r="D835" s="8"/>
      <c r="E835" s="8"/>
      <c r="F835" s="9"/>
    </row>
    <row r="836" ht="15.75" customHeight="1">
      <c r="D836" s="8"/>
      <c r="E836" s="8"/>
      <c r="F836" s="9"/>
    </row>
    <row r="837" ht="15.75" customHeight="1">
      <c r="D837" s="8"/>
      <c r="E837" s="8"/>
      <c r="F837" s="9"/>
    </row>
    <row r="838" ht="15.75" customHeight="1">
      <c r="D838" s="8"/>
      <c r="E838" s="8"/>
      <c r="F838" s="9"/>
    </row>
    <row r="839" ht="15.75" customHeight="1">
      <c r="D839" s="8"/>
      <c r="E839" s="8"/>
      <c r="F839" s="9"/>
    </row>
    <row r="840" ht="15.75" customHeight="1">
      <c r="D840" s="8"/>
      <c r="E840" s="8"/>
      <c r="F840" s="9"/>
    </row>
    <row r="841" ht="15.75" customHeight="1">
      <c r="D841" s="8"/>
      <c r="E841" s="8"/>
      <c r="F841" s="9"/>
    </row>
    <row r="842" ht="15.75" customHeight="1">
      <c r="D842" s="8"/>
      <c r="E842" s="8"/>
      <c r="F842" s="9"/>
    </row>
    <row r="843" ht="15.75" customHeight="1">
      <c r="D843" s="8"/>
      <c r="E843" s="8"/>
      <c r="F843" s="9"/>
    </row>
    <row r="844" ht="15.75" customHeight="1">
      <c r="D844" s="8"/>
      <c r="E844" s="8"/>
      <c r="F844" s="9"/>
    </row>
    <row r="845" ht="15.75" customHeight="1">
      <c r="D845" s="8"/>
      <c r="E845" s="8"/>
      <c r="F845" s="9"/>
    </row>
    <row r="846" ht="15.75" customHeight="1">
      <c r="D846" s="8"/>
      <c r="E846" s="8"/>
      <c r="F846" s="9"/>
    </row>
    <row r="847" ht="15.75" customHeight="1">
      <c r="D847" s="8"/>
      <c r="E847" s="8"/>
      <c r="F847" s="9"/>
    </row>
    <row r="848" ht="15.75" customHeight="1">
      <c r="D848" s="8"/>
      <c r="E848" s="8"/>
      <c r="F848" s="9"/>
    </row>
    <row r="849" ht="15.75" customHeight="1">
      <c r="D849" s="8"/>
      <c r="E849" s="8"/>
      <c r="F849" s="9"/>
    </row>
    <row r="850" ht="15.75" customHeight="1">
      <c r="D850" s="8"/>
      <c r="E850" s="8"/>
      <c r="F850" s="9"/>
    </row>
    <row r="851" ht="15.75" customHeight="1">
      <c r="D851" s="8"/>
      <c r="E851" s="8"/>
      <c r="F851" s="9"/>
    </row>
    <row r="852" ht="15.75" customHeight="1">
      <c r="D852" s="8"/>
      <c r="E852" s="8"/>
      <c r="F852" s="9"/>
    </row>
    <row r="853" ht="15.75" customHeight="1">
      <c r="D853" s="8"/>
      <c r="E853" s="8"/>
      <c r="F853" s="9"/>
    </row>
    <row r="854" ht="15.75" customHeight="1">
      <c r="D854" s="8"/>
      <c r="E854" s="8"/>
      <c r="F854" s="9"/>
    </row>
    <row r="855" ht="15.75" customHeight="1">
      <c r="D855" s="8"/>
      <c r="E855" s="8"/>
      <c r="F855" s="9"/>
    </row>
    <row r="856" ht="15.75" customHeight="1">
      <c r="D856" s="8"/>
      <c r="E856" s="8"/>
      <c r="F856" s="9"/>
    </row>
    <row r="857" ht="15.75" customHeight="1">
      <c r="D857" s="8"/>
      <c r="E857" s="8"/>
      <c r="F857" s="9"/>
    </row>
    <row r="858" ht="15.75" customHeight="1">
      <c r="D858" s="8"/>
      <c r="E858" s="8"/>
      <c r="F858" s="9"/>
    </row>
    <row r="859" ht="15.75" customHeight="1">
      <c r="D859" s="8"/>
      <c r="E859" s="8"/>
      <c r="F859" s="9"/>
    </row>
    <row r="860" ht="15.75" customHeight="1">
      <c r="D860" s="8"/>
      <c r="E860" s="8"/>
      <c r="F860" s="9"/>
    </row>
    <row r="861" ht="15.75" customHeight="1">
      <c r="D861" s="8"/>
      <c r="E861" s="8"/>
      <c r="F861" s="9"/>
    </row>
    <row r="862" ht="15.75" customHeight="1">
      <c r="D862" s="8"/>
      <c r="E862" s="8"/>
      <c r="F862" s="9"/>
    </row>
    <row r="863" ht="15.75" customHeight="1">
      <c r="D863" s="8"/>
      <c r="E863" s="8"/>
      <c r="F863" s="9"/>
    </row>
    <row r="864" ht="15.75" customHeight="1">
      <c r="D864" s="8"/>
      <c r="E864" s="8"/>
      <c r="F864" s="9"/>
    </row>
    <row r="865" ht="15.75" customHeight="1">
      <c r="D865" s="8"/>
      <c r="E865" s="8"/>
      <c r="F865" s="9"/>
    </row>
    <row r="866" ht="15.75" customHeight="1">
      <c r="D866" s="8"/>
      <c r="E866" s="8"/>
      <c r="F866" s="9"/>
    </row>
    <row r="867" ht="15.75" customHeight="1">
      <c r="D867" s="8"/>
      <c r="E867" s="8"/>
      <c r="F867" s="9"/>
    </row>
    <row r="868" ht="15.75" customHeight="1">
      <c r="D868" s="8"/>
      <c r="E868" s="8"/>
      <c r="F868" s="9"/>
    </row>
    <row r="869" ht="15.75" customHeight="1">
      <c r="D869" s="8"/>
      <c r="E869" s="8"/>
      <c r="F869" s="9"/>
    </row>
    <row r="870" ht="15.75" customHeight="1">
      <c r="D870" s="8"/>
      <c r="E870" s="8"/>
      <c r="F870" s="9"/>
    </row>
    <row r="871" ht="15.75" customHeight="1">
      <c r="D871" s="8"/>
      <c r="E871" s="8"/>
      <c r="F871" s="9"/>
    </row>
    <row r="872" ht="15.75" customHeight="1">
      <c r="D872" s="8"/>
      <c r="E872" s="8"/>
      <c r="F872" s="9"/>
    </row>
    <row r="873" ht="15.75" customHeight="1">
      <c r="D873" s="8"/>
      <c r="E873" s="8"/>
      <c r="F873" s="9"/>
    </row>
    <row r="874" ht="15.75" customHeight="1">
      <c r="D874" s="8"/>
      <c r="E874" s="8"/>
      <c r="F874" s="9"/>
    </row>
    <row r="875" ht="15.75" customHeight="1">
      <c r="D875" s="8"/>
      <c r="E875" s="8"/>
      <c r="F875" s="9"/>
    </row>
    <row r="876" ht="15.75" customHeight="1">
      <c r="D876" s="8"/>
      <c r="E876" s="8"/>
      <c r="F876" s="9"/>
    </row>
    <row r="877" ht="15.75" customHeight="1">
      <c r="D877" s="8"/>
      <c r="E877" s="8"/>
      <c r="F877" s="9"/>
    </row>
    <row r="878" ht="15.75" customHeight="1">
      <c r="D878" s="8"/>
      <c r="E878" s="8"/>
      <c r="F878" s="9"/>
    </row>
    <row r="879" ht="15.75" customHeight="1">
      <c r="D879" s="8"/>
      <c r="E879" s="8"/>
      <c r="F879" s="9"/>
    </row>
    <row r="880" ht="15.75" customHeight="1">
      <c r="D880" s="8"/>
      <c r="E880" s="8"/>
      <c r="F880" s="9"/>
    </row>
    <row r="881" ht="15.75" customHeight="1">
      <c r="D881" s="8"/>
      <c r="E881" s="8"/>
      <c r="F881" s="9"/>
    </row>
    <row r="882" ht="15.75" customHeight="1">
      <c r="D882" s="8"/>
      <c r="E882" s="8"/>
      <c r="F882" s="9"/>
    </row>
    <row r="883" ht="15.75" customHeight="1">
      <c r="D883" s="8"/>
      <c r="E883" s="8"/>
      <c r="F883" s="9"/>
    </row>
    <row r="884" ht="15.75" customHeight="1">
      <c r="D884" s="8"/>
      <c r="E884" s="8"/>
      <c r="F884" s="9"/>
    </row>
    <row r="885" ht="15.75" customHeight="1">
      <c r="D885" s="8"/>
      <c r="E885" s="8"/>
      <c r="F885" s="9"/>
    </row>
    <row r="886" ht="15.75" customHeight="1">
      <c r="D886" s="8"/>
      <c r="E886" s="8"/>
      <c r="F886" s="9"/>
    </row>
    <row r="887" ht="15.75" customHeight="1">
      <c r="D887" s="8"/>
      <c r="E887" s="8"/>
      <c r="F887" s="9"/>
    </row>
    <row r="888" ht="15.75" customHeight="1">
      <c r="D888" s="8"/>
      <c r="E888" s="8"/>
      <c r="F888" s="9"/>
    </row>
    <row r="889" ht="15.75" customHeight="1">
      <c r="D889" s="8"/>
      <c r="E889" s="8"/>
      <c r="F889" s="9"/>
    </row>
    <row r="890" ht="15.75" customHeight="1">
      <c r="D890" s="8"/>
      <c r="E890" s="8"/>
      <c r="F890" s="9"/>
    </row>
    <row r="891" ht="15.75" customHeight="1">
      <c r="D891" s="8"/>
      <c r="E891" s="8"/>
      <c r="F891" s="9"/>
    </row>
    <row r="892" ht="15.75" customHeight="1">
      <c r="D892" s="8"/>
      <c r="E892" s="8"/>
      <c r="F892" s="9"/>
    </row>
    <row r="893" ht="15.75" customHeight="1">
      <c r="D893" s="8"/>
      <c r="E893" s="8"/>
      <c r="F893" s="9"/>
    </row>
    <row r="894" ht="15.75" customHeight="1">
      <c r="D894" s="8"/>
      <c r="E894" s="8"/>
      <c r="F894" s="9"/>
    </row>
    <row r="895" ht="15.75" customHeight="1">
      <c r="D895" s="8"/>
      <c r="E895" s="8"/>
      <c r="F895" s="9"/>
    </row>
    <row r="896" ht="15.75" customHeight="1">
      <c r="D896" s="8"/>
      <c r="E896" s="8"/>
      <c r="F896" s="9"/>
    </row>
    <row r="897" ht="15.75" customHeight="1">
      <c r="D897" s="8"/>
      <c r="E897" s="8"/>
      <c r="F897" s="9"/>
    </row>
    <row r="898" ht="15.75" customHeight="1">
      <c r="D898" s="8"/>
      <c r="E898" s="8"/>
      <c r="F898" s="9"/>
    </row>
    <row r="899" ht="15.75" customHeight="1">
      <c r="D899" s="8"/>
      <c r="E899" s="8"/>
      <c r="F899" s="9"/>
    </row>
    <row r="900" ht="15.75" customHeight="1">
      <c r="D900" s="8"/>
      <c r="E900" s="8"/>
      <c r="F900" s="9"/>
    </row>
    <row r="901" ht="15.75" customHeight="1">
      <c r="D901" s="8"/>
      <c r="E901" s="8"/>
      <c r="F901" s="9"/>
    </row>
    <row r="902" ht="15.75" customHeight="1">
      <c r="D902" s="8"/>
      <c r="E902" s="8"/>
      <c r="F902" s="9"/>
    </row>
    <row r="903" ht="15.75" customHeight="1">
      <c r="D903" s="8"/>
      <c r="E903" s="8"/>
      <c r="F903" s="9"/>
    </row>
    <row r="904" ht="15.75" customHeight="1">
      <c r="D904" s="8"/>
      <c r="E904" s="8"/>
      <c r="F904" s="9"/>
    </row>
    <row r="905" ht="15.75" customHeight="1">
      <c r="D905" s="8"/>
      <c r="E905" s="8"/>
      <c r="F905" s="9"/>
    </row>
    <row r="906" ht="15.75" customHeight="1">
      <c r="D906" s="8"/>
      <c r="E906" s="8"/>
      <c r="F906" s="9"/>
    </row>
    <row r="907" ht="15.75" customHeight="1">
      <c r="D907" s="8"/>
      <c r="E907" s="8"/>
      <c r="F907" s="9"/>
    </row>
    <row r="908" ht="15.75" customHeight="1">
      <c r="D908" s="8"/>
      <c r="E908" s="8"/>
      <c r="F908" s="9"/>
    </row>
    <row r="909" ht="15.75" customHeight="1">
      <c r="D909" s="8"/>
      <c r="E909" s="8"/>
      <c r="F909" s="9"/>
    </row>
    <row r="910" ht="15.75" customHeight="1">
      <c r="D910" s="8"/>
      <c r="E910" s="8"/>
      <c r="F910" s="9"/>
    </row>
    <row r="911" ht="15.75" customHeight="1">
      <c r="D911" s="8"/>
      <c r="E911" s="8"/>
      <c r="F911" s="9"/>
    </row>
    <row r="912" ht="15.75" customHeight="1">
      <c r="D912" s="8"/>
      <c r="E912" s="8"/>
      <c r="F912" s="9"/>
    </row>
    <row r="913" ht="15.75" customHeight="1">
      <c r="D913" s="8"/>
      <c r="E913" s="8"/>
      <c r="F913" s="9"/>
    </row>
    <row r="914" ht="15.75" customHeight="1">
      <c r="D914" s="8"/>
      <c r="E914" s="8"/>
      <c r="F914" s="9"/>
    </row>
    <row r="915" ht="15.75" customHeight="1">
      <c r="D915" s="8"/>
      <c r="E915" s="8"/>
      <c r="F915" s="9"/>
    </row>
    <row r="916" ht="15.75" customHeight="1">
      <c r="D916" s="8"/>
      <c r="E916" s="8"/>
      <c r="F916" s="9"/>
    </row>
    <row r="917" ht="15.75" customHeight="1">
      <c r="D917" s="8"/>
      <c r="E917" s="8"/>
      <c r="F917" s="9"/>
    </row>
    <row r="918" ht="15.75" customHeight="1">
      <c r="D918" s="8"/>
      <c r="E918" s="8"/>
      <c r="F918" s="9"/>
    </row>
    <row r="919" ht="15.75" customHeight="1">
      <c r="D919" s="8"/>
      <c r="E919" s="8"/>
      <c r="F919" s="9"/>
    </row>
    <row r="920" ht="15.75" customHeight="1">
      <c r="D920" s="8"/>
      <c r="E920" s="8"/>
      <c r="F920" s="9"/>
    </row>
    <row r="921" ht="15.75" customHeight="1">
      <c r="D921" s="8"/>
      <c r="E921" s="8"/>
      <c r="F921" s="9"/>
    </row>
    <row r="922" ht="15.75" customHeight="1">
      <c r="D922" s="8"/>
      <c r="E922" s="8"/>
      <c r="F922" s="9"/>
    </row>
    <row r="923" ht="15.75" customHeight="1">
      <c r="D923" s="8"/>
      <c r="E923" s="8"/>
      <c r="F923" s="9"/>
    </row>
    <row r="924" ht="15.75" customHeight="1">
      <c r="D924" s="8"/>
      <c r="E924" s="8"/>
      <c r="F924" s="9"/>
    </row>
    <row r="925" ht="15.75" customHeight="1">
      <c r="D925" s="8"/>
      <c r="E925" s="8"/>
      <c r="F925" s="9"/>
    </row>
    <row r="926" ht="15.75" customHeight="1">
      <c r="D926" s="8"/>
      <c r="E926" s="8"/>
      <c r="F926" s="9"/>
    </row>
    <row r="927" ht="15.75" customHeight="1">
      <c r="D927" s="8"/>
      <c r="E927" s="8"/>
      <c r="F927" s="9"/>
    </row>
    <row r="928" ht="15.75" customHeight="1">
      <c r="D928" s="8"/>
      <c r="E928" s="8"/>
      <c r="F928" s="9"/>
    </row>
    <row r="929" ht="15.75" customHeight="1">
      <c r="D929" s="8"/>
      <c r="E929" s="8"/>
      <c r="F929" s="9"/>
    </row>
    <row r="930" ht="15.75" customHeight="1">
      <c r="D930" s="8"/>
      <c r="E930" s="8"/>
      <c r="F930" s="9"/>
    </row>
    <row r="931" ht="15.75" customHeight="1">
      <c r="D931" s="8"/>
      <c r="E931" s="8"/>
      <c r="F931" s="9"/>
    </row>
    <row r="932" ht="15.75" customHeight="1">
      <c r="D932" s="8"/>
      <c r="E932" s="8"/>
      <c r="F932" s="9"/>
    </row>
    <row r="933" ht="15.75" customHeight="1">
      <c r="D933" s="8"/>
      <c r="E933" s="8"/>
      <c r="F933" s="9"/>
    </row>
    <row r="934" ht="15.75" customHeight="1">
      <c r="D934" s="8"/>
      <c r="E934" s="8"/>
      <c r="F934" s="9"/>
    </row>
    <row r="935" ht="15.75" customHeight="1">
      <c r="D935" s="8"/>
      <c r="E935" s="8"/>
      <c r="F935" s="9"/>
    </row>
    <row r="936" ht="15.75" customHeight="1">
      <c r="D936" s="8"/>
      <c r="E936" s="8"/>
      <c r="F936" s="9"/>
    </row>
    <row r="937" ht="15.75" customHeight="1">
      <c r="D937" s="8"/>
      <c r="E937" s="8"/>
      <c r="F937" s="9"/>
    </row>
    <row r="938" ht="15.75" customHeight="1">
      <c r="D938" s="8"/>
      <c r="E938" s="8"/>
      <c r="F938" s="9"/>
    </row>
    <row r="939" ht="15.75" customHeight="1">
      <c r="D939" s="8"/>
      <c r="E939" s="8"/>
      <c r="F939" s="9"/>
    </row>
    <row r="940" ht="15.75" customHeight="1">
      <c r="D940" s="8"/>
      <c r="E940" s="8"/>
      <c r="F940" s="9"/>
    </row>
    <row r="941" ht="15.75" customHeight="1">
      <c r="D941" s="8"/>
      <c r="E941" s="8"/>
      <c r="F941" s="9"/>
    </row>
    <row r="942" ht="15.75" customHeight="1">
      <c r="D942" s="8"/>
      <c r="E942" s="8"/>
      <c r="F942" s="9"/>
    </row>
    <row r="943" ht="15.75" customHeight="1">
      <c r="D943" s="8"/>
      <c r="E943" s="8"/>
      <c r="F943" s="9"/>
    </row>
    <row r="944" ht="15.75" customHeight="1">
      <c r="D944" s="8"/>
      <c r="E944" s="8"/>
      <c r="F944" s="9"/>
    </row>
    <row r="945" ht="15.75" customHeight="1">
      <c r="D945" s="8"/>
      <c r="E945" s="8"/>
      <c r="F945" s="9"/>
    </row>
    <row r="946" ht="15.75" customHeight="1">
      <c r="D946" s="8"/>
      <c r="E946" s="8"/>
      <c r="F946" s="9"/>
    </row>
    <row r="947" ht="15.75" customHeight="1">
      <c r="D947" s="8"/>
      <c r="E947" s="8"/>
      <c r="F947" s="9"/>
    </row>
    <row r="948" ht="15.75" customHeight="1">
      <c r="D948" s="8"/>
      <c r="E948" s="8"/>
      <c r="F948" s="9"/>
    </row>
    <row r="949" ht="15.75" customHeight="1">
      <c r="D949" s="8"/>
      <c r="E949" s="8"/>
      <c r="F949" s="9"/>
    </row>
    <row r="950" ht="15.75" customHeight="1">
      <c r="D950" s="8"/>
      <c r="E950" s="8"/>
      <c r="F950" s="9"/>
    </row>
    <row r="951" ht="15.75" customHeight="1">
      <c r="D951" s="8"/>
      <c r="E951" s="8"/>
      <c r="F951" s="9"/>
    </row>
    <row r="952" ht="15.75" customHeight="1">
      <c r="D952" s="8"/>
      <c r="E952" s="8"/>
      <c r="F952" s="9"/>
    </row>
    <row r="953" ht="15.75" customHeight="1">
      <c r="D953" s="8"/>
      <c r="E953" s="8"/>
      <c r="F953" s="9"/>
    </row>
    <row r="954" ht="15.75" customHeight="1">
      <c r="D954" s="8"/>
      <c r="E954" s="8"/>
      <c r="F954" s="9"/>
    </row>
    <row r="955" ht="15.75" customHeight="1">
      <c r="D955" s="8"/>
      <c r="E955" s="8"/>
      <c r="F955" s="9"/>
    </row>
    <row r="956" ht="15.75" customHeight="1">
      <c r="D956" s="8"/>
      <c r="E956" s="8"/>
      <c r="F956" s="9"/>
    </row>
    <row r="957" ht="15.75" customHeight="1">
      <c r="D957" s="8"/>
      <c r="E957" s="8"/>
      <c r="F957" s="9"/>
    </row>
    <row r="958" ht="15.75" customHeight="1">
      <c r="D958" s="8"/>
      <c r="E958" s="8"/>
      <c r="F958" s="9"/>
    </row>
    <row r="959" ht="15.75" customHeight="1">
      <c r="D959" s="8"/>
      <c r="E959" s="8"/>
      <c r="F959" s="9"/>
    </row>
    <row r="960" ht="15.75" customHeight="1">
      <c r="D960" s="8"/>
      <c r="E960" s="8"/>
      <c r="F960" s="9"/>
    </row>
    <row r="961" ht="15.75" customHeight="1">
      <c r="D961" s="8"/>
      <c r="E961" s="8"/>
      <c r="F961" s="9"/>
    </row>
    <row r="962" ht="15.75" customHeight="1">
      <c r="D962" s="8"/>
      <c r="E962" s="8"/>
      <c r="F962" s="9"/>
    </row>
    <row r="963" ht="15.75" customHeight="1">
      <c r="D963" s="8"/>
      <c r="E963" s="8"/>
      <c r="F963" s="9"/>
    </row>
    <row r="964" ht="15.75" customHeight="1">
      <c r="D964" s="8"/>
      <c r="E964" s="8"/>
      <c r="F964" s="9"/>
    </row>
    <row r="965" ht="15.75" customHeight="1">
      <c r="D965" s="8"/>
      <c r="E965" s="8"/>
      <c r="F965" s="9"/>
    </row>
    <row r="966" ht="15.75" customHeight="1">
      <c r="D966" s="8"/>
      <c r="E966" s="8"/>
      <c r="F966" s="9"/>
    </row>
    <row r="967" ht="15.75" customHeight="1">
      <c r="D967" s="8"/>
      <c r="E967" s="8"/>
      <c r="F967" s="9"/>
    </row>
    <row r="968" ht="15.75" customHeight="1">
      <c r="D968" s="8"/>
      <c r="E968" s="8"/>
      <c r="F968" s="9"/>
    </row>
    <row r="969" ht="15.75" customHeight="1">
      <c r="D969" s="8"/>
      <c r="E969" s="8"/>
      <c r="F969" s="9"/>
    </row>
    <row r="970" ht="15.75" customHeight="1">
      <c r="D970" s="8"/>
      <c r="E970" s="8"/>
      <c r="F970" s="9"/>
    </row>
    <row r="971" ht="15.75" customHeight="1">
      <c r="D971" s="8"/>
      <c r="E971" s="8"/>
      <c r="F971" s="9"/>
    </row>
    <row r="972" ht="15.75" customHeight="1">
      <c r="D972" s="8"/>
      <c r="E972" s="8"/>
      <c r="F972" s="9"/>
    </row>
    <row r="973" ht="15.75" customHeight="1">
      <c r="D973" s="8"/>
      <c r="E973" s="8"/>
      <c r="F973" s="9"/>
    </row>
    <row r="974" ht="15.75" customHeight="1">
      <c r="D974" s="8"/>
      <c r="E974" s="8"/>
      <c r="F974" s="9"/>
    </row>
    <row r="975" ht="15.75" customHeight="1">
      <c r="D975" s="8"/>
      <c r="E975" s="8"/>
      <c r="F975" s="9"/>
    </row>
    <row r="976" ht="15.75" customHeight="1">
      <c r="D976" s="8"/>
      <c r="E976" s="8"/>
      <c r="F976" s="9"/>
    </row>
    <row r="977" ht="15.75" customHeight="1">
      <c r="D977" s="8"/>
      <c r="E977" s="8"/>
      <c r="F977" s="9"/>
    </row>
    <row r="978" ht="15.75" customHeight="1">
      <c r="D978" s="8"/>
      <c r="E978" s="8"/>
      <c r="F978" s="9"/>
    </row>
    <row r="979" ht="15.75" customHeight="1">
      <c r="D979" s="8"/>
      <c r="E979" s="8"/>
      <c r="F979" s="9"/>
    </row>
    <row r="980" ht="15.75" customHeight="1">
      <c r="D980" s="8"/>
      <c r="E980" s="8"/>
      <c r="F980" s="9"/>
    </row>
    <row r="981" ht="15.75" customHeight="1">
      <c r="D981" s="8"/>
      <c r="E981" s="8"/>
      <c r="F981" s="9"/>
    </row>
    <row r="982" ht="15.75" customHeight="1">
      <c r="D982" s="8"/>
      <c r="E982" s="8"/>
      <c r="F982" s="9"/>
    </row>
    <row r="983" ht="15.75" customHeight="1">
      <c r="D983" s="8"/>
      <c r="E983" s="8"/>
      <c r="F983" s="9"/>
    </row>
    <row r="984" ht="15.75" customHeight="1">
      <c r="D984" s="8"/>
      <c r="E984" s="8"/>
      <c r="F984" s="9"/>
    </row>
    <row r="985" ht="15.75" customHeight="1">
      <c r="D985" s="8"/>
      <c r="E985" s="8"/>
      <c r="F985" s="9"/>
    </row>
    <row r="986" ht="15.75" customHeight="1">
      <c r="D986" s="8"/>
      <c r="E986" s="8"/>
      <c r="F986" s="9"/>
    </row>
    <row r="987" ht="15.75" customHeight="1">
      <c r="D987" s="8"/>
      <c r="E987" s="8"/>
      <c r="F987" s="9"/>
    </row>
    <row r="988" ht="15.75" customHeight="1">
      <c r="D988" s="8"/>
      <c r="E988" s="8"/>
      <c r="F988" s="9"/>
    </row>
    <row r="989" ht="15.75" customHeight="1">
      <c r="D989" s="8"/>
      <c r="E989" s="8"/>
      <c r="F989" s="9"/>
    </row>
    <row r="990" ht="15.75" customHeight="1">
      <c r="D990" s="8"/>
      <c r="E990" s="8"/>
      <c r="F990" s="9"/>
    </row>
    <row r="991" ht="15.75" customHeight="1">
      <c r="D991" s="8"/>
      <c r="E991" s="8"/>
      <c r="F991" s="9"/>
    </row>
    <row r="992" ht="15.75" customHeight="1">
      <c r="D992" s="8"/>
      <c r="E992" s="8"/>
      <c r="F992" s="9"/>
    </row>
    <row r="993" ht="15.75" customHeight="1">
      <c r="D993" s="8"/>
      <c r="E993" s="8"/>
      <c r="F993" s="9"/>
    </row>
    <row r="994" ht="15.75" customHeight="1">
      <c r="D994" s="8"/>
      <c r="E994" s="8"/>
      <c r="F994" s="9"/>
    </row>
    <row r="995" ht="15.75" customHeight="1">
      <c r="D995" s="8"/>
      <c r="E995" s="8"/>
      <c r="F995" s="9"/>
    </row>
    <row r="996" ht="15.75" customHeight="1">
      <c r="D996" s="8"/>
      <c r="E996" s="8"/>
      <c r="F996" s="9"/>
    </row>
    <row r="997" ht="15.75" customHeight="1">
      <c r="D997" s="8"/>
      <c r="E997" s="8"/>
      <c r="F997" s="9"/>
    </row>
    <row r="998" ht="15.75" customHeight="1">
      <c r="D998" s="8"/>
      <c r="E998" s="8"/>
      <c r="F998" s="9"/>
    </row>
    <row r="999" ht="15.75" customHeight="1">
      <c r="D999" s="8"/>
      <c r="E999" s="8"/>
      <c r="F999" s="9"/>
    </row>
    <row r="1000" ht="15.75" customHeight="1">
      <c r="D1000" s="8"/>
      <c r="E1000" s="8"/>
      <c r="F1000" s="9"/>
    </row>
    <row r="1001" ht="15.75" customHeight="1">
      <c r="D1001" s="8"/>
      <c r="E1001" s="8"/>
      <c r="F1001" s="9"/>
    </row>
    <row r="1002" ht="15.75" customHeight="1">
      <c r="D1002" s="8"/>
      <c r="E1002" s="8"/>
      <c r="F1002" s="9"/>
    </row>
    <row r="1003" ht="15.75" customHeight="1">
      <c r="D1003" s="8"/>
      <c r="E1003" s="8"/>
      <c r="F1003" s="9"/>
    </row>
    <row r="1004" ht="15.75" customHeight="1">
      <c r="D1004" s="8"/>
      <c r="E1004" s="8"/>
      <c r="F1004" s="9"/>
    </row>
    <row r="1005" ht="15.75" customHeight="1">
      <c r="D1005" s="8"/>
      <c r="E1005" s="8"/>
      <c r="F1005" s="9"/>
    </row>
    <row r="1006" ht="15.75" customHeight="1">
      <c r="D1006" s="8"/>
      <c r="E1006" s="8"/>
      <c r="F1006" s="9"/>
    </row>
    <row r="1007" ht="15.75" customHeight="1">
      <c r="D1007" s="8"/>
      <c r="E1007" s="8"/>
      <c r="F1007" s="9"/>
    </row>
    <row r="1008" ht="15.75" customHeight="1">
      <c r="D1008" s="8"/>
      <c r="E1008" s="8"/>
      <c r="F1008" s="9"/>
    </row>
    <row r="1009" ht="15.75" customHeight="1">
      <c r="D1009" s="8"/>
      <c r="E1009" s="8"/>
      <c r="F1009" s="9"/>
    </row>
    <row r="1010" ht="15.75" customHeight="1">
      <c r="D1010" s="8"/>
      <c r="E1010" s="8"/>
      <c r="F1010" s="9"/>
    </row>
    <row r="1011" ht="15.75" customHeight="1">
      <c r="D1011" s="8"/>
      <c r="E1011" s="8"/>
      <c r="F1011" s="9"/>
    </row>
    <row r="1012" ht="15.75" customHeight="1">
      <c r="D1012" s="8"/>
      <c r="E1012" s="8"/>
      <c r="F1012" s="9"/>
    </row>
    <row r="1013" ht="15.75" customHeight="1">
      <c r="D1013" s="8"/>
      <c r="E1013" s="8"/>
      <c r="F1013" s="9"/>
    </row>
    <row r="1014" ht="15.75" customHeight="1">
      <c r="D1014" s="8"/>
      <c r="E1014" s="8"/>
      <c r="F1014" s="9"/>
    </row>
    <row r="1015" ht="15.75" customHeight="1">
      <c r="D1015" s="8"/>
      <c r="E1015" s="8"/>
      <c r="F1015" s="9"/>
    </row>
    <row r="1016" ht="15.75" customHeight="1">
      <c r="D1016" s="8"/>
      <c r="E1016" s="8"/>
      <c r="F1016" s="9"/>
    </row>
    <row r="1017" ht="15.75" customHeight="1">
      <c r="D1017" s="8"/>
      <c r="E1017" s="8"/>
      <c r="F1017" s="9"/>
    </row>
    <row r="1018" ht="15.75" customHeight="1">
      <c r="D1018" s="8"/>
      <c r="E1018" s="8"/>
      <c r="F1018" s="9"/>
    </row>
    <row r="1019" ht="15.75" customHeight="1">
      <c r="D1019" s="8"/>
      <c r="E1019" s="8"/>
      <c r="F1019" s="9"/>
    </row>
    <row r="1020" ht="15.75" customHeight="1">
      <c r="D1020" s="8"/>
      <c r="E1020" s="8"/>
      <c r="F1020" s="9"/>
    </row>
    <row r="1021" ht="15.75" customHeight="1">
      <c r="D1021" s="8"/>
      <c r="E1021" s="8"/>
      <c r="F1021" s="9"/>
    </row>
    <row r="1022" ht="15.75" customHeight="1">
      <c r="D1022" s="8"/>
      <c r="E1022" s="8"/>
      <c r="F1022" s="9"/>
    </row>
    <row r="1023" ht="15.75" customHeight="1">
      <c r="D1023" s="8"/>
      <c r="E1023" s="8"/>
      <c r="F1023" s="9"/>
    </row>
    <row r="1024" ht="15.75" customHeight="1">
      <c r="D1024" s="8"/>
      <c r="E1024" s="8"/>
      <c r="F1024" s="9"/>
    </row>
    <row r="1025" ht="15.75" customHeight="1">
      <c r="D1025" s="8"/>
      <c r="E1025" s="8"/>
      <c r="F1025" s="9"/>
    </row>
    <row r="1026" ht="15.75" customHeight="1">
      <c r="D1026" s="8"/>
      <c r="E1026" s="8"/>
      <c r="F1026" s="9"/>
    </row>
    <row r="1027" ht="15.75" customHeight="1">
      <c r="D1027" s="8"/>
      <c r="E1027" s="8"/>
      <c r="F1027" s="9"/>
    </row>
    <row r="1028" ht="15.75" customHeight="1">
      <c r="D1028" s="8"/>
      <c r="E1028" s="8"/>
      <c r="F1028" s="9"/>
    </row>
    <row r="1029" ht="15.75" customHeight="1">
      <c r="D1029" s="8"/>
      <c r="E1029" s="8"/>
      <c r="F1029" s="9"/>
    </row>
    <row r="1030" ht="15.75" customHeight="1">
      <c r="D1030" s="8"/>
      <c r="E1030" s="8"/>
      <c r="F1030" s="9"/>
    </row>
    <row r="1031" ht="15.75" customHeight="1">
      <c r="D1031" s="8"/>
      <c r="E1031" s="8"/>
      <c r="F1031" s="9"/>
    </row>
    <row r="1032" ht="15.75" customHeight="1">
      <c r="D1032" s="8"/>
      <c r="E1032" s="8"/>
      <c r="F1032" s="9"/>
    </row>
    <row r="1033" ht="15.75" customHeight="1">
      <c r="D1033" s="8"/>
      <c r="E1033" s="8"/>
      <c r="F1033" s="9"/>
    </row>
    <row r="1034" ht="15.75" customHeight="1">
      <c r="D1034" s="8"/>
      <c r="E1034" s="8"/>
      <c r="F1034" s="9"/>
    </row>
    <row r="1035" ht="15.75" customHeight="1">
      <c r="D1035" s="8"/>
      <c r="E1035" s="8"/>
      <c r="F1035" s="9"/>
    </row>
    <row r="1036" ht="15.75" customHeight="1">
      <c r="D1036" s="8"/>
      <c r="E1036" s="8"/>
      <c r="F1036" s="9"/>
    </row>
    <row r="1037" ht="15.75" customHeight="1">
      <c r="D1037" s="8"/>
      <c r="E1037" s="8"/>
      <c r="F1037" s="9"/>
    </row>
    <row r="1038" ht="15.75" customHeight="1">
      <c r="D1038" s="8"/>
      <c r="E1038" s="8"/>
      <c r="F1038" s="9"/>
    </row>
    <row r="1039" ht="15.75" customHeight="1">
      <c r="D1039" s="8"/>
      <c r="E1039" s="8"/>
      <c r="F1039" s="9"/>
    </row>
    <row r="1040" ht="15.75" customHeight="1">
      <c r="D1040" s="8"/>
      <c r="E1040" s="8"/>
      <c r="F1040" s="9"/>
    </row>
    <row r="1041" ht="15.75" customHeight="1">
      <c r="D1041" s="8"/>
      <c r="E1041" s="8"/>
      <c r="F1041" s="9"/>
    </row>
    <row r="1042" ht="15.75" customHeight="1">
      <c r="D1042" s="8"/>
      <c r="E1042" s="8"/>
      <c r="F1042" s="9"/>
    </row>
    <row r="1043" ht="15.75" customHeight="1">
      <c r="D1043" s="8"/>
      <c r="E1043" s="8"/>
      <c r="F1043" s="9"/>
    </row>
    <row r="1044" ht="15.75" customHeight="1">
      <c r="D1044" s="8"/>
      <c r="E1044" s="8"/>
      <c r="F1044" s="9"/>
    </row>
    <row r="1045" ht="15.75" customHeight="1">
      <c r="D1045" s="8"/>
      <c r="E1045" s="8"/>
      <c r="F1045" s="9"/>
    </row>
    <row r="1046" ht="15.75" customHeight="1">
      <c r="D1046" s="8"/>
      <c r="E1046" s="8"/>
      <c r="F1046" s="9"/>
    </row>
    <row r="1047" ht="15.75" customHeight="1">
      <c r="D1047" s="8"/>
      <c r="E1047" s="8"/>
      <c r="F1047" s="9"/>
    </row>
    <row r="1048" ht="15.75" customHeight="1">
      <c r="D1048" s="8"/>
      <c r="E1048" s="8"/>
      <c r="F1048" s="9"/>
    </row>
    <row r="1049" ht="15.75" customHeight="1">
      <c r="D1049" s="8"/>
      <c r="E1049" s="8"/>
      <c r="F1049" s="9"/>
    </row>
    <row r="1050" ht="15.75" customHeight="1">
      <c r="D1050" s="8"/>
      <c r="E1050" s="8"/>
      <c r="F1050" s="9"/>
    </row>
    <row r="1051" ht="15.75" customHeight="1">
      <c r="D1051" s="8"/>
      <c r="E1051" s="8"/>
      <c r="F1051" s="9"/>
    </row>
    <row r="1052" ht="15.75" customHeight="1">
      <c r="D1052" s="8"/>
      <c r="E1052" s="8"/>
      <c r="F1052" s="9"/>
    </row>
    <row r="1053" ht="15.75" customHeight="1">
      <c r="D1053" s="8"/>
      <c r="E1053" s="8"/>
      <c r="F1053" s="9"/>
    </row>
    <row r="1054" ht="15.75" customHeight="1">
      <c r="D1054" s="8"/>
      <c r="E1054" s="8"/>
      <c r="F1054" s="9"/>
    </row>
    <row r="1055" ht="15.75" customHeight="1">
      <c r="D1055" s="8"/>
      <c r="E1055" s="8"/>
      <c r="F1055" s="9"/>
    </row>
    <row r="1056" ht="15.75" customHeight="1">
      <c r="D1056" s="8"/>
      <c r="E1056" s="8"/>
      <c r="F1056" s="9"/>
    </row>
    <row r="1057" ht="15.75" customHeight="1">
      <c r="D1057" s="8"/>
      <c r="E1057" s="8"/>
      <c r="F1057" s="9"/>
    </row>
    <row r="1058" ht="15.75" customHeight="1">
      <c r="D1058" s="8"/>
      <c r="E1058" s="8"/>
      <c r="F1058" s="9"/>
    </row>
    <row r="1059" ht="15.75" customHeight="1">
      <c r="D1059" s="8"/>
      <c r="E1059" s="8"/>
      <c r="F1059" s="9"/>
    </row>
    <row r="1060" ht="15.75" customHeight="1">
      <c r="D1060" s="8"/>
      <c r="E1060" s="8"/>
      <c r="F1060" s="9"/>
    </row>
    <row r="1061" ht="15.75" customHeight="1">
      <c r="D1061" s="8"/>
      <c r="E1061" s="8"/>
      <c r="F1061" s="9"/>
    </row>
    <row r="1062" ht="15.75" customHeight="1">
      <c r="D1062" s="8"/>
      <c r="E1062" s="8"/>
      <c r="F1062" s="9"/>
    </row>
    <row r="1063" ht="15.75" customHeight="1">
      <c r="D1063" s="8"/>
      <c r="E1063" s="8"/>
      <c r="F1063" s="9"/>
    </row>
    <row r="1064" ht="15.75" customHeight="1">
      <c r="D1064" s="8"/>
      <c r="E1064" s="8"/>
      <c r="F1064" s="9"/>
    </row>
    <row r="1065" ht="15.75" customHeight="1">
      <c r="D1065" s="8"/>
      <c r="E1065" s="8"/>
      <c r="F1065" s="9"/>
    </row>
    <row r="1066" ht="15.75" customHeight="1">
      <c r="D1066" s="8"/>
      <c r="E1066" s="8"/>
      <c r="F1066" s="9"/>
    </row>
    <row r="1067" ht="15.75" customHeight="1">
      <c r="D1067" s="8"/>
      <c r="E1067" s="8"/>
      <c r="F1067" s="9"/>
    </row>
    <row r="1068" ht="15.75" customHeight="1">
      <c r="D1068" s="8"/>
      <c r="E1068" s="8"/>
      <c r="F1068" s="9"/>
    </row>
    <row r="1069" ht="15.75" customHeight="1">
      <c r="D1069" s="8"/>
      <c r="E1069" s="8"/>
      <c r="F1069" s="9"/>
    </row>
    <row r="1070" ht="15.75" customHeight="1">
      <c r="D1070" s="8"/>
      <c r="E1070" s="8"/>
      <c r="F1070" s="9"/>
    </row>
    <row r="1071" ht="15.75" customHeight="1">
      <c r="D1071" s="8"/>
      <c r="E1071" s="8"/>
      <c r="F1071" s="9"/>
    </row>
    <row r="1072" ht="15.75" customHeight="1">
      <c r="D1072" s="8"/>
      <c r="E1072" s="8"/>
      <c r="F1072" s="9"/>
    </row>
    <row r="1073" ht="15.75" customHeight="1">
      <c r="D1073" s="8"/>
      <c r="E1073" s="8"/>
      <c r="F1073" s="9"/>
    </row>
    <row r="1074" ht="15.75" customHeight="1">
      <c r="D1074" s="8"/>
      <c r="E1074" s="8"/>
      <c r="F1074" s="9"/>
    </row>
    <row r="1075" ht="15.75" customHeight="1">
      <c r="D1075" s="8"/>
      <c r="E1075" s="8"/>
      <c r="F1075" s="9"/>
    </row>
    <row r="1076" ht="15.75" customHeight="1">
      <c r="D1076" s="8"/>
      <c r="E1076" s="8"/>
      <c r="F1076" s="9"/>
    </row>
    <row r="1077" ht="15.75" customHeight="1">
      <c r="D1077" s="8"/>
      <c r="E1077" s="8"/>
      <c r="F1077" s="9"/>
    </row>
    <row r="1078" ht="15.75" customHeight="1">
      <c r="D1078" s="8"/>
      <c r="E1078" s="8"/>
      <c r="F1078" s="9"/>
    </row>
    <row r="1079" ht="15.75" customHeight="1">
      <c r="D1079" s="8"/>
      <c r="E1079" s="8"/>
      <c r="F1079" s="9"/>
    </row>
    <row r="1080" ht="15.75" customHeight="1">
      <c r="D1080" s="8"/>
      <c r="E1080" s="8"/>
      <c r="F1080" s="9"/>
    </row>
    <row r="1081" ht="15.75" customHeight="1">
      <c r="D1081" s="8"/>
      <c r="E1081" s="8"/>
      <c r="F1081" s="9"/>
    </row>
    <row r="1082" ht="15.75" customHeight="1">
      <c r="D1082" s="8"/>
      <c r="E1082" s="8"/>
      <c r="F1082" s="9"/>
    </row>
    <row r="1083" ht="15.75" customHeight="1">
      <c r="D1083" s="8"/>
      <c r="E1083" s="8"/>
      <c r="F1083" s="9"/>
    </row>
    <row r="1084" ht="15.75" customHeight="1">
      <c r="D1084" s="8"/>
      <c r="E1084" s="8"/>
      <c r="F1084" s="9"/>
    </row>
    <row r="1085" ht="15.75" customHeight="1">
      <c r="D1085" s="8"/>
      <c r="E1085" s="8"/>
      <c r="F1085" s="9"/>
    </row>
    <row r="1086" ht="15.75" customHeight="1">
      <c r="D1086" s="8"/>
      <c r="E1086" s="8"/>
      <c r="F1086" s="9"/>
    </row>
    <row r="1087" ht="15.75" customHeight="1">
      <c r="D1087" s="8"/>
      <c r="E1087" s="8"/>
      <c r="F1087" s="9"/>
    </row>
    <row r="1088" ht="15.75" customHeight="1">
      <c r="D1088" s="8"/>
      <c r="E1088" s="8"/>
      <c r="F1088" s="9"/>
    </row>
    <row r="1089" ht="15.75" customHeight="1">
      <c r="D1089" s="8"/>
      <c r="E1089" s="8"/>
      <c r="F1089" s="9"/>
    </row>
    <row r="1090" ht="15.75" customHeight="1">
      <c r="D1090" s="8"/>
      <c r="E1090" s="8"/>
      <c r="F1090" s="9"/>
    </row>
    <row r="1091" ht="15.75" customHeight="1">
      <c r="D1091" s="8"/>
      <c r="E1091" s="8"/>
      <c r="F1091" s="9"/>
    </row>
    <row r="1092" ht="15.75" customHeight="1">
      <c r="D1092" s="8"/>
      <c r="E1092" s="8"/>
      <c r="F1092" s="9"/>
    </row>
    <row r="1093" ht="15.75" customHeight="1">
      <c r="D1093" s="8"/>
      <c r="E1093" s="8"/>
      <c r="F1093" s="9"/>
    </row>
    <row r="1094" ht="15.75" customHeight="1">
      <c r="D1094" s="8"/>
      <c r="E1094" s="8"/>
      <c r="F1094" s="9"/>
    </row>
    <row r="1095" ht="15.75" customHeight="1">
      <c r="D1095" s="8"/>
      <c r="E1095" s="8"/>
      <c r="F1095" s="9"/>
    </row>
    <row r="1096" ht="15.75" customHeight="1">
      <c r="D1096" s="8"/>
      <c r="E1096" s="8"/>
      <c r="F1096" s="9"/>
    </row>
    <row r="1097" ht="15.75" customHeight="1">
      <c r="D1097" s="8"/>
      <c r="E1097" s="8"/>
      <c r="F1097" s="9"/>
    </row>
    <row r="1098" ht="15.75" customHeight="1">
      <c r="D1098" s="8"/>
      <c r="E1098" s="8"/>
      <c r="F1098" s="9"/>
    </row>
    <row r="1099" ht="15.75" customHeight="1">
      <c r="D1099" s="8"/>
      <c r="E1099" s="8"/>
      <c r="F1099" s="9"/>
    </row>
    <row r="1100" ht="15.75" customHeight="1">
      <c r="D1100" s="8"/>
      <c r="E1100" s="8"/>
      <c r="F1100" s="9"/>
    </row>
    <row r="1101" ht="15.75" customHeight="1">
      <c r="D1101" s="8"/>
      <c r="E1101" s="8"/>
      <c r="F1101" s="9"/>
    </row>
    <row r="1102" ht="15.75" customHeight="1">
      <c r="D1102" s="8"/>
      <c r="E1102" s="8"/>
      <c r="F1102" s="9"/>
    </row>
    <row r="1103" ht="15.75" customHeight="1">
      <c r="D1103" s="8"/>
      <c r="E1103" s="8"/>
      <c r="F1103" s="9"/>
    </row>
    <row r="1104" ht="15.75" customHeight="1">
      <c r="D1104" s="8"/>
      <c r="E1104" s="8"/>
      <c r="F1104" s="9"/>
    </row>
    <row r="1105" ht="15.75" customHeight="1">
      <c r="D1105" s="8"/>
      <c r="E1105" s="8"/>
      <c r="F1105" s="9"/>
    </row>
    <row r="1106" ht="15.75" customHeight="1">
      <c r="D1106" s="8"/>
      <c r="E1106" s="8"/>
      <c r="F1106" s="9"/>
    </row>
    <row r="1107" ht="15.75" customHeight="1">
      <c r="D1107" s="8"/>
      <c r="E1107" s="8"/>
      <c r="F1107" s="9"/>
    </row>
    <row r="1108" ht="15.75" customHeight="1">
      <c r="D1108" s="8"/>
      <c r="E1108" s="8"/>
      <c r="F1108" s="9"/>
    </row>
    <row r="1109" ht="15.75" customHeight="1">
      <c r="D1109" s="8"/>
      <c r="E1109" s="8"/>
      <c r="F1109" s="9"/>
    </row>
    <row r="1110" ht="15.75" customHeight="1">
      <c r="D1110" s="8"/>
      <c r="E1110" s="8"/>
      <c r="F1110" s="9"/>
    </row>
    <row r="1111" ht="15.75" customHeight="1">
      <c r="D1111" s="8"/>
      <c r="E1111" s="8"/>
      <c r="F1111" s="9"/>
    </row>
    <row r="1112" ht="15.75" customHeight="1">
      <c r="D1112" s="8"/>
      <c r="E1112" s="8"/>
      <c r="F1112" s="9"/>
    </row>
    <row r="1113" ht="15.75" customHeight="1">
      <c r="D1113" s="8"/>
      <c r="E1113" s="8"/>
      <c r="F1113" s="9"/>
    </row>
    <row r="1114" ht="15.75" customHeight="1">
      <c r="D1114" s="8"/>
      <c r="E1114" s="8"/>
      <c r="F1114" s="9"/>
    </row>
    <row r="1115" ht="15.75" customHeight="1">
      <c r="D1115" s="8"/>
      <c r="E1115" s="8"/>
      <c r="F1115" s="9"/>
    </row>
    <row r="1116" ht="15.75" customHeight="1">
      <c r="D1116" s="8"/>
      <c r="E1116" s="8"/>
      <c r="F1116" s="9"/>
    </row>
    <row r="1117" ht="15.75" customHeight="1">
      <c r="D1117" s="8"/>
      <c r="E1117" s="8"/>
      <c r="F1117" s="9"/>
    </row>
    <row r="1118" ht="15.75" customHeight="1">
      <c r="D1118" s="8"/>
      <c r="E1118" s="8"/>
      <c r="F1118" s="9"/>
    </row>
    <row r="1119" ht="15.75" customHeight="1">
      <c r="D1119" s="8"/>
      <c r="E1119" s="8"/>
      <c r="F1119" s="9"/>
    </row>
    <row r="1120" ht="15.75" customHeight="1">
      <c r="A1120" s="16" t="s">
        <v>93</v>
      </c>
      <c r="D1120" s="8"/>
      <c r="E1120" s="8"/>
      <c r="F1120" s="9"/>
    </row>
  </sheetData>
  <printOptions gridLines="1" horizontalCentered="1"/>
  <pageMargins bottom="0.75" footer="0.0" header="0.0" left="0.25" right="0.25" top="0.75"/>
  <pageSetup paperSize="7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9.88"/>
    <col customWidth="1" min="3" max="3" width="11.25"/>
    <col customWidth="1" min="4" max="4" width="5.63"/>
    <col customWidth="1" min="5" max="5" width="89.25"/>
    <col customWidth="1" min="6" max="6" width="8.63"/>
  </cols>
  <sheetData>
    <row r="1" ht="15.75" customHeight="1">
      <c r="A1" s="18" t="s">
        <v>344</v>
      </c>
      <c r="B1" s="18" t="s">
        <v>345</v>
      </c>
      <c r="C1" s="18" t="s">
        <v>346</v>
      </c>
      <c r="D1" s="9" t="s">
        <v>347</v>
      </c>
      <c r="E1" s="9" t="s">
        <v>348</v>
      </c>
      <c r="F1" s="9" t="s">
        <v>349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9" t="s">
        <v>350</v>
      </c>
      <c r="B2" s="19" t="s">
        <v>351</v>
      </c>
      <c r="C2" s="19" t="s">
        <v>352</v>
      </c>
      <c r="D2" s="9">
        <v>0.0</v>
      </c>
      <c r="E2" s="20" t="s">
        <v>353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9" t="s">
        <v>350</v>
      </c>
      <c r="B3" s="19" t="s">
        <v>354</v>
      </c>
      <c r="C3" s="19" t="s">
        <v>352</v>
      </c>
      <c r="D3" s="9">
        <v>0.0</v>
      </c>
      <c r="E3" s="20" t="s">
        <v>355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9" t="s">
        <v>350</v>
      </c>
      <c r="B4" s="19" t="s">
        <v>356</v>
      </c>
      <c r="C4" s="19" t="s">
        <v>352</v>
      </c>
      <c r="D4" s="9">
        <v>0.0</v>
      </c>
      <c r="E4" s="20" t="s">
        <v>357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9" t="s">
        <v>350</v>
      </c>
      <c r="B5" s="19" t="s">
        <v>358</v>
      </c>
      <c r="C5" s="19" t="s">
        <v>359</v>
      </c>
      <c r="D5" s="9">
        <v>1.0</v>
      </c>
      <c r="E5" s="20" t="s">
        <v>360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9" t="s">
        <v>350</v>
      </c>
      <c r="B6" s="19" t="s">
        <v>361</v>
      </c>
      <c r="C6" s="19" t="s">
        <v>359</v>
      </c>
      <c r="D6" s="9">
        <v>1.0</v>
      </c>
      <c r="E6" s="20" t="s">
        <v>362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9" t="s">
        <v>350</v>
      </c>
      <c r="B7" s="19" t="s">
        <v>363</v>
      </c>
      <c r="C7" s="19" t="s">
        <v>359</v>
      </c>
      <c r="D7" s="9">
        <v>2.0</v>
      </c>
      <c r="E7" s="20" t="s">
        <v>364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 t="s">
        <v>350</v>
      </c>
      <c r="B8" s="19" t="s">
        <v>365</v>
      </c>
      <c r="C8" s="19" t="s">
        <v>359</v>
      </c>
      <c r="D8" s="9">
        <v>2.0</v>
      </c>
      <c r="E8" s="20" t="s">
        <v>366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9" t="s">
        <v>350</v>
      </c>
      <c r="B9" s="19" t="s">
        <v>367</v>
      </c>
      <c r="C9" s="19" t="s">
        <v>368</v>
      </c>
      <c r="D9" s="9">
        <v>3.0</v>
      </c>
      <c r="E9" s="20" t="s">
        <v>369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9" t="s">
        <v>350</v>
      </c>
      <c r="B10" s="19" t="s">
        <v>370</v>
      </c>
      <c r="C10" s="19" t="s">
        <v>368</v>
      </c>
      <c r="D10" s="9">
        <v>3.0</v>
      </c>
      <c r="E10" s="20" t="s">
        <v>371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9" t="s">
        <v>350</v>
      </c>
      <c r="B11" s="19" t="s">
        <v>372</v>
      </c>
      <c r="C11" s="19" t="s">
        <v>368</v>
      </c>
      <c r="D11" s="9">
        <v>3.0</v>
      </c>
      <c r="E11" s="20" t="s">
        <v>373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9" t="s">
        <v>350</v>
      </c>
      <c r="B12" s="19" t="s">
        <v>374</v>
      </c>
      <c r="C12" s="19" t="s">
        <v>368</v>
      </c>
      <c r="D12" s="9">
        <v>4.0</v>
      </c>
      <c r="E12" s="20" t="s">
        <v>375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 t="s">
        <v>350</v>
      </c>
      <c r="B13" s="21" t="s">
        <v>376</v>
      </c>
      <c r="C13" s="19" t="s">
        <v>377</v>
      </c>
      <c r="D13" s="9">
        <v>4.0</v>
      </c>
      <c r="E13" s="20" t="s">
        <v>378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 t="s">
        <v>350</v>
      </c>
      <c r="B14" s="19" t="s">
        <v>379</v>
      </c>
      <c r="C14" s="19" t="s">
        <v>377</v>
      </c>
      <c r="D14" s="9">
        <v>5.0</v>
      </c>
      <c r="E14" s="20" t="s">
        <v>380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9" t="s">
        <v>350</v>
      </c>
      <c r="B15" s="19" t="s">
        <v>381</v>
      </c>
      <c r="C15" s="19" t="s">
        <v>377</v>
      </c>
      <c r="D15" s="9">
        <v>5.0</v>
      </c>
      <c r="E15" s="20" t="s">
        <v>382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2" t="s">
        <v>24</v>
      </c>
      <c r="B16" s="22" t="s">
        <v>383</v>
      </c>
      <c r="C16" s="22" t="s">
        <v>384</v>
      </c>
      <c r="D16" s="18">
        <v>6.0</v>
      </c>
      <c r="E16" s="23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22" t="s">
        <v>24</v>
      </c>
      <c r="B17" s="22" t="s">
        <v>383</v>
      </c>
      <c r="C17" s="22" t="s">
        <v>384</v>
      </c>
      <c r="D17" s="18">
        <v>6.0</v>
      </c>
      <c r="E17" s="23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9" t="s">
        <v>350</v>
      </c>
      <c r="B18" s="19" t="s">
        <v>385</v>
      </c>
      <c r="C18" s="19" t="s">
        <v>377</v>
      </c>
      <c r="D18" s="9">
        <v>7.0</v>
      </c>
      <c r="E18" s="20" t="s">
        <v>386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9" t="s">
        <v>350</v>
      </c>
      <c r="B19" s="19" t="s">
        <v>387</v>
      </c>
      <c r="C19" s="19" t="s">
        <v>388</v>
      </c>
      <c r="D19" s="9">
        <v>7.0</v>
      </c>
      <c r="E19" s="20" t="s">
        <v>389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9" t="s">
        <v>350</v>
      </c>
      <c r="B20" s="19" t="s">
        <v>390</v>
      </c>
      <c r="C20" s="19" t="s">
        <v>388</v>
      </c>
      <c r="D20" s="9">
        <v>8.0</v>
      </c>
      <c r="E20" s="20" t="s">
        <v>391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9" t="s">
        <v>350</v>
      </c>
      <c r="B21" s="19" t="s">
        <v>392</v>
      </c>
      <c r="C21" s="19" t="s">
        <v>388</v>
      </c>
      <c r="D21" s="9">
        <v>8.0</v>
      </c>
      <c r="E21" s="20" t="s">
        <v>393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9" t="s">
        <v>350</v>
      </c>
      <c r="B22" s="19" t="s">
        <v>394</v>
      </c>
      <c r="C22" s="19" t="s">
        <v>388</v>
      </c>
      <c r="D22" s="9">
        <v>9.0</v>
      </c>
      <c r="E22" s="20" t="s">
        <v>395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9" t="s">
        <v>350</v>
      </c>
      <c r="B23" s="19" t="s">
        <v>396</v>
      </c>
      <c r="C23" s="19" t="s">
        <v>397</v>
      </c>
      <c r="D23" s="9">
        <v>9.0</v>
      </c>
      <c r="E23" s="20" t="s">
        <v>398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9" t="s">
        <v>350</v>
      </c>
      <c r="B24" s="19" t="s">
        <v>399</v>
      </c>
      <c r="C24" s="19" t="s">
        <v>397</v>
      </c>
      <c r="D24" s="9">
        <v>10.0</v>
      </c>
      <c r="E24" s="20" t="s">
        <v>400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9" t="s">
        <v>350</v>
      </c>
      <c r="B25" s="19" t="s">
        <v>401</v>
      </c>
      <c r="C25" s="19" t="s">
        <v>397</v>
      </c>
      <c r="D25" s="9">
        <v>10.0</v>
      </c>
      <c r="E25" s="20" t="s">
        <v>402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9" t="s">
        <v>350</v>
      </c>
      <c r="B26" s="19" t="s">
        <v>403</v>
      </c>
      <c r="C26" s="19" t="s">
        <v>397</v>
      </c>
      <c r="D26" s="9">
        <v>11.0</v>
      </c>
      <c r="E26" s="20" t="s">
        <v>404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9" t="s">
        <v>350</v>
      </c>
      <c r="B27" s="19" t="s">
        <v>405</v>
      </c>
      <c r="C27" s="19" t="s">
        <v>397</v>
      </c>
      <c r="D27" s="9">
        <v>11.0</v>
      </c>
      <c r="E27" s="20" t="s">
        <v>406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2" t="s">
        <v>24</v>
      </c>
      <c r="B28" s="22" t="s">
        <v>383</v>
      </c>
      <c r="C28" s="22" t="s">
        <v>384</v>
      </c>
      <c r="D28" s="18">
        <v>12.0</v>
      </c>
      <c r="E28" s="2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22" t="s">
        <v>24</v>
      </c>
      <c r="B29" s="22" t="s">
        <v>383</v>
      </c>
      <c r="C29" s="22" t="s">
        <v>384</v>
      </c>
      <c r="D29" s="18">
        <v>12.0</v>
      </c>
      <c r="E29" s="2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7" t="s">
        <v>407</v>
      </c>
      <c r="B30" s="9" t="s">
        <v>351</v>
      </c>
      <c r="C30" s="9" t="s">
        <v>408</v>
      </c>
      <c r="D30" s="9">
        <v>13.0</v>
      </c>
      <c r="E30" s="25" t="s">
        <v>353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7" t="s">
        <v>407</v>
      </c>
      <c r="B31" s="9" t="s">
        <v>409</v>
      </c>
      <c r="C31" s="9" t="s">
        <v>408</v>
      </c>
      <c r="D31" s="9">
        <v>13.0</v>
      </c>
      <c r="E31" s="25" t="s">
        <v>410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7" t="s">
        <v>407</v>
      </c>
      <c r="B32" s="9" t="s">
        <v>411</v>
      </c>
      <c r="C32" s="9" t="s">
        <v>408</v>
      </c>
      <c r="D32" s="9">
        <v>13.0</v>
      </c>
      <c r="E32" s="25" t="s">
        <v>412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7" t="s">
        <v>407</v>
      </c>
      <c r="B33" s="9" t="s">
        <v>413</v>
      </c>
      <c r="C33" s="9" t="s">
        <v>414</v>
      </c>
      <c r="D33" s="9">
        <v>14.0</v>
      </c>
      <c r="E33" s="25" t="s">
        <v>415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7" t="s">
        <v>407</v>
      </c>
      <c r="B34" s="9" t="s">
        <v>416</v>
      </c>
      <c r="C34" s="9" t="s">
        <v>414</v>
      </c>
      <c r="D34" s="9">
        <v>14.0</v>
      </c>
      <c r="E34" s="25" t="s">
        <v>417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7" t="s">
        <v>407</v>
      </c>
      <c r="B35" s="9" t="s">
        <v>418</v>
      </c>
      <c r="C35" s="9" t="s">
        <v>419</v>
      </c>
      <c r="D35" s="9">
        <v>15.0</v>
      </c>
      <c r="E35" s="25" t="s">
        <v>420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7" t="s">
        <v>407</v>
      </c>
      <c r="B36" s="9" t="s">
        <v>421</v>
      </c>
      <c r="C36" s="9" t="s">
        <v>419</v>
      </c>
      <c r="D36" s="9">
        <v>15.0</v>
      </c>
      <c r="E36" s="25" t="s">
        <v>422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7" t="s">
        <v>407</v>
      </c>
      <c r="B37" s="9" t="s">
        <v>423</v>
      </c>
      <c r="C37" s="9" t="s">
        <v>424</v>
      </c>
      <c r="D37" s="9">
        <v>15.0</v>
      </c>
      <c r="E37" s="25" t="s">
        <v>425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7" t="s">
        <v>407</v>
      </c>
      <c r="B38" s="9" t="s">
        <v>426</v>
      </c>
      <c r="C38" s="9" t="s">
        <v>427</v>
      </c>
      <c r="D38" s="9">
        <v>16.0</v>
      </c>
      <c r="E38" s="25" t="s">
        <v>355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7" t="s">
        <v>407</v>
      </c>
      <c r="B39" s="9" t="s">
        <v>428</v>
      </c>
      <c r="C39" s="9" t="s">
        <v>427</v>
      </c>
      <c r="D39" s="9">
        <v>16.0</v>
      </c>
      <c r="E39" s="25" t="s">
        <v>429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7" t="s">
        <v>407</v>
      </c>
      <c r="B40" s="9" t="s">
        <v>430</v>
      </c>
      <c r="C40" s="9" t="s">
        <v>431</v>
      </c>
      <c r="D40" s="9">
        <v>17.0</v>
      </c>
      <c r="E40" s="25" t="s">
        <v>432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7" t="s">
        <v>407</v>
      </c>
      <c r="B41" s="9" t="s">
        <v>358</v>
      </c>
      <c r="C41" s="9" t="s">
        <v>431</v>
      </c>
      <c r="D41" s="9">
        <v>17.0</v>
      </c>
      <c r="E41" s="25" t="s">
        <v>360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3" t="s">
        <v>24</v>
      </c>
      <c r="B42" s="18" t="s">
        <v>433</v>
      </c>
      <c r="C42" s="18" t="s">
        <v>434</v>
      </c>
      <c r="D42" s="18">
        <v>18.0</v>
      </c>
      <c r="E42" s="2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3" t="s">
        <v>24</v>
      </c>
      <c r="B43" s="18" t="s">
        <v>433</v>
      </c>
      <c r="C43" s="18" t="s">
        <v>434</v>
      </c>
      <c r="D43" s="18">
        <v>18.0</v>
      </c>
      <c r="E43" s="2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7" t="s">
        <v>407</v>
      </c>
      <c r="B44" s="9" t="s">
        <v>356</v>
      </c>
      <c r="C44" s="9" t="s">
        <v>435</v>
      </c>
      <c r="D44" s="9">
        <v>19.0</v>
      </c>
      <c r="E44" s="25" t="s">
        <v>357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7" t="s">
        <v>407</v>
      </c>
      <c r="B45" s="9" t="s">
        <v>436</v>
      </c>
      <c r="C45" s="9" t="s">
        <v>435</v>
      </c>
      <c r="D45" s="9">
        <v>19.0</v>
      </c>
      <c r="E45" s="25" t="s">
        <v>437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7" t="s">
        <v>407</v>
      </c>
      <c r="B46" s="9" t="s">
        <v>438</v>
      </c>
      <c r="C46" s="9" t="s">
        <v>439</v>
      </c>
      <c r="D46" s="9">
        <v>20.0</v>
      </c>
      <c r="E46" s="25" t="s">
        <v>440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7" t="s">
        <v>407</v>
      </c>
      <c r="B47" s="9" t="s">
        <v>441</v>
      </c>
      <c r="C47" s="9" t="s">
        <v>439</v>
      </c>
      <c r="D47" s="9">
        <v>20.0</v>
      </c>
      <c r="E47" s="25" t="s">
        <v>442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7" t="s">
        <v>407</v>
      </c>
      <c r="B48" s="9" t="s">
        <v>443</v>
      </c>
      <c r="C48" s="9" t="s">
        <v>444</v>
      </c>
      <c r="D48" s="9">
        <v>21.0</v>
      </c>
      <c r="E48" s="25" t="s">
        <v>445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7" t="s">
        <v>407</v>
      </c>
      <c r="B49" s="9" t="s">
        <v>446</v>
      </c>
      <c r="C49" s="9" t="s">
        <v>444</v>
      </c>
      <c r="D49" s="9">
        <v>21.0</v>
      </c>
      <c r="E49" s="25" t="s">
        <v>447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7" t="s">
        <v>407</v>
      </c>
      <c r="B50" s="9" t="s">
        <v>448</v>
      </c>
      <c r="C50" s="9" t="s">
        <v>444</v>
      </c>
      <c r="D50" s="9">
        <v>21.0</v>
      </c>
      <c r="E50" s="25" t="s">
        <v>449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7" t="s">
        <v>407</v>
      </c>
      <c r="B51" s="9" t="s">
        <v>394</v>
      </c>
      <c r="C51" s="9" t="s">
        <v>450</v>
      </c>
      <c r="D51" s="9">
        <v>22.0</v>
      </c>
      <c r="E51" s="25" t="s">
        <v>395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7" t="s">
        <v>407</v>
      </c>
      <c r="B52" s="9" t="s">
        <v>451</v>
      </c>
      <c r="C52" s="9" t="s">
        <v>450</v>
      </c>
      <c r="D52" s="9">
        <v>22.0</v>
      </c>
      <c r="E52" s="25" t="s">
        <v>452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7" t="s">
        <v>407</v>
      </c>
      <c r="B53" s="9" t="s">
        <v>453</v>
      </c>
      <c r="C53" s="9" t="s">
        <v>454</v>
      </c>
      <c r="D53" s="9">
        <v>23.0</v>
      </c>
      <c r="E53" s="25" t="s">
        <v>455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7" t="s">
        <v>407</v>
      </c>
      <c r="B54" s="9" t="s">
        <v>456</v>
      </c>
      <c r="C54" s="9" t="s">
        <v>454</v>
      </c>
      <c r="D54" s="9">
        <v>23.0</v>
      </c>
      <c r="E54" s="25" t="s">
        <v>457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" t="s">
        <v>407</v>
      </c>
      <c r="B55" s="9" t="s">
        <v>458</v>
      </c>
      <c r="C55" s="9" t="s">
        <v>454</v>
      </c>
      <c r="D55" s="9">
        <v>23.0</v>
      </c>
      <c r="E55" s="25" t="s">
        <v>459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3" t="s">
        <v>407</v>
      </c>
      <c r="B56" s="18" t="s">
        <v>433</v>
      </c>
      <c r="C56" s="18" t="s">
        <v>434</v>
      </c>
      <c r="D56" s="18">
        <v>24.0</v>
      </c>
      <c r="E56" s="2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3" t="s">
        <v>407</v>
      </c>
      <c r="B57" s="18" t="s">
        <v>433</v>
      </c>
      <c r="C57" s="18" t="s">
        <v>434</v>
      </c>
      <c r="D57" s="18">
        <v>24.0</v>
      </c>
      <c r="E57" s="2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7" t="s">
        <v>407</v>
      </c>
      <c r="B58" s="9" t="s">
        <v>460</v>
      </c>
      <c r="C58" s="9" t="s">
        <v>461</v>
      </c>
      <c r="D58" s="9">
        <v>25.0</v>
      </c>
      <c r="E58" s="25" t="s">
        <v>462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7" t="s">
        <v>407</v>
      </c>
      <c r="B59" s="9" t="s">
        <v>463</v>
      </c>
      <c r="C59" s="9" t="s">
        <v>461</v>
      </c>
      <c r="D59" s="9">
        <v>25.0</v>
      </c>
      <c r="E59" s="25" t="s">
        <v>464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7" t="s">
        <v>407</v>
      </c>
      <c r="B60" s="9" t="s">
        <v>465</v>
      </c>
      <c r="C60" s="9" t="s">
        <v>466</v>
      </c>
      <c r="D60" s="9">
        <v>26.0</v>
      </c>
      <c r="E60" s="25" t="s">
        <v>467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7" t="s">
        <v>407</v>
      </c>
      <c r="B61" s="9" t="s">
        <v>381</v>
      </c>
      <c r="C61" s="9" t="s">
        <v>466</v>
      </c>
      <c r="D61" s="9">
        <v>26.0</v>
      </c>
      <c r="E61" s="25" t="s">
        <v>382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 t="s">
        <v>468</v>
      </c>
      <c r="B62" s="9" t="s">
        <v>469</v>
      </c>
      <c r="C62" s="9" t="s">
        <v>470</v>
      </c>
      <c r="D62" s="9">
        <v>27.0</v>
      </c>
      <c r="E62" s="26" t="s">
        <v>471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 t="s">
        <v>468</v>
      </c>
      <c r="B63" s="9" t="s">
        <v>472</v>
      </c>
      <c r="C63" s="9" t="s">
        <v>470</v>
      </c>
      <c r="D63" s="9">
        <v>27.0</v>
      </c>
      <c r="E63" s="27" t="s">
        <v>473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 t="s">
        <v>468</v>
      </c>
      <c r="B64" s="9" t="s">
        <v>474</v>
      </c>
      <c r="C64" s="9" t="s">
        <v>470</v>
      </c>
      <c r="D64" s="9">
        <v>28.0</v>
      </c>
      <c r="E64" s="25" t="s">
        <v>475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 t="s">
        <v>468</v>
      </c>
      <c r="B65" s="9" t="s">
        <v>476</v>
      </c>
      <c r="C65" s="9" t="s">
        <v>470</v>
      </c>
      <c r="D65" s="9">
        <v>28.0</v>
      </c>
      <c r="E65" s="25" t="s">
        <v>477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 t="s">
        <v>468</v>
      </c>
      <c r="B66" s="9" t="s">
        <v>478</v>
      </c>
      <c r="C66" s="9" t="s">
        <v>479</v>
      </c>
      <c r="D66" s="9">
        <v>29.0</v>
      </c>
      <c r="E66" s="25" t="s">
        <v>480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 t="s">
        <v>468</v>
      </c>
      <c r="B67" s="9" t="s">
        <v>481</v>
      </c>
      <c r="C67" s="9" t="s">
        <v>479</v>
      </c>
      <c r="D67" s="9">
        <v>29.0</v>
      </c>
      <c r="E67" s="25" t="s">
        <v>482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8" t="s">
        <v>468</v>
      </c>
      <c r="B68" s="18" t="s">
        <v>483</v>
      </c>
      <c r="C68" s="18" t="s">
        <v>484</v>
      </c>
      <c r="D68" s="18">
        <v>30.0</v>
      </c>
      <c r="E68" s="13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9" t="s">
        <v>468</v>
      </c>
      <c r="B69" s="9" t="s">
        <v>485</v>
      </c>
      <c r="C69" s="9" t="s">
        <v>479</v>
      </c>
      <c r="D69" s="9">
        <v>31.0</v>
      </c>
      <c r="E69" s="25" t="s">
        <v>486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 t="s">
        <v>468</v>
      </c>
      <c r="B70" s="9" t="s">
        <v>487</v>
      </c>
      <c r="C70" s="9" t="s">
        <v>479</v>
      </c>
      <c r="D70" s="9">
        <v>31.0</v>
      </c>
      <c r="E70" s="25" t="s">
        <v>488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 t="s">
        <v>489</v>
      </c>
      <c r="B71" s="9" t="s">
        <v>490</v>
      </c>
      <c r="C71" s="9" t="s">
        <v>491</v>
      </c>
      <c r="D71" s="9">
        <v>32.0</v>
      </c>
      <c r="E71" s="25" t="s">
        <v>492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 t="s">
        <v>489</v>
      </c>
      <c r="B72" s="9" t="s">
        <v>493</v>
      </c>
      <c r="C72" s="9" t="s">
        <v>491</v>
      </c>
      <c r="D72" s="9">
        <v>32.0</v>
      </c>
      <c r="E72" s="25" t="s">
        <v>494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 t="s">
        <v>489</v>
      </c>
      <c r="B73" s="9" t="s">
        <v>495</v>
      </c>
      <c r="C73" s="9" t="s">
        <v>491</v>
      </c>
      <c r="D73" s="9">
        <v>33.0</v>
      </c>
      <c r="E73" s="25" t="s">
        <v>496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 t="s">
        <v>489</v>
      </c>
      <c r="B74" s="9" t="s">
        <v>497</v>
      </c>
      <c r="C74" s="9" t="s">
        <v>491</v>
      </c>
      <c r="D74" s="9">
        <v>33.0</v>
      </c>
      <c r="E74" s="25" t="s">
        <v>498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 t="s">
        <v>489</v>
      </c>
      <c r="B75" s="9" t="s">
        <v>499</v>
      </c>
      <c r="C75" s="9" t="s">
        <v>500</v>
      </c>
      <c r="D75" s="9">
        <v>34.0</v>
      </c>
      <c r="E75" s="25" t="s">
        <v>501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 t="s">
        <v>489</v>
      </c>
      <c r="B76" s="9" t="s">
        <v>502</v>
      </c>
      <c r="C76" s="9" t="s">
        <v>500</v>
      </c>
      <c r="D76" s="9">
        <v>34.0</v>
      </c>
      <c r="E76" s="25" t="s">
        <v>503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 t="s">
        <v>489</v>
      </c>
      <c r="B77" s="9" t="s">
        <v>504</v>
      </c>
      <c r="C77" s="9" t="s">
        <v>500</v>
      </c>
      <c r="D77" s="9">
        <v>35.0</v>
      </c>
      <c r="E77" s="25" t="s">
        <v>505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 t="s">
        <v>489</v>
      </c>
      <c r="B78" s="9" t="s">
        <v>506</v>
      </c>
      <c r="C78" s="9" t="s">
        <v>500</v>
      </c>
      <c r="D78" s="9">
        <v>35.0</v>
      </c>
      <c r="E78" s="25" t="s">
        <v>507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8" t="s">
        <v>489</v>
      </c>
      <c r="B79" s="18" t="s">
        <v>508</v>
      </c>
      <c r="C79" s="22" t="s">
        <v>509</v>
      </c>
      <c r="D79" s="18">
        <v>36.0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28" t="s">
        <v>510</v>
      </c>
      <c r="B80" s="29" t="s">
        <v>511</v>
      </c>
      <c r="C80" s="28" t="s">
        <v>512</v>
      </c>
      <c r="D80" s="30">
        <v>37.0</v>
      </c>
      <c r="E80" s="3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28" t="s">
        <v>513</v>
      </c>
      <c r="B81" s="31" t="s">
        <v>514</v>
      </c>
      <c r="C81" s="28" t="s">
        <v>512</v>
      </c>
      <c r="D81" s="9">
        <v>38.0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28" t="s">
        <v>468</v>
      </c>
      <c r="B82" s="31" t="s">
        <v>515</v>
      </c>
      <c r="C82" s="28" t="s">
        <v>512</v>
      </c>
      <c r="D82" s="9">
        <v>39.0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28" t="s">
        <v>516</v>
      </c>
      <c r="B83" s="31" t="s">
        <v>517</v>
      </c>
      <c r="C83" s="28" t="s">
        <v>512</v>
      </c>
      <c r="D83" s="9">
        <v>40.0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28" t="s">
        <v>518</v>
      </c>
      <c r="B84" s="31" t="s">
        <v>519</v>
      </c>
      <c r="C84" s="28" t="s">
        <v>512</v>
      </c>
      <c r="D84" s="9">
        <v>41.0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28"/>
      <c r="B85" s="31" t="s">
        <v>520</v>
      </c>
      <c r="C85" s="28" t="s">
        <v>512</v>
      </c>
      <c r="D85" s="9">
        <v>42.0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28" t="s">
        <v>521</v>
      </c>
      <c r="B86" s="31" t="s">
        <v>522</v>
      </c>
      <c r="C86" s="28" t="s">
        <v>512</v>
      </c>
      <c r="D86" s="9">
        <v>43.0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28" t="s">
        <v>523</v>
      </c>
      <c r="B87" s="7" t="s">
        <v>524</v>
      </c>
      <c r="C87" s="28" t="s">
        <v>512</v>
      </c>
      <c r="D87" s="9">
        <v>44.0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" t="s">
        <v>3</v>
      </c>
      <c r="B88" s="7" t="s">
        <v>4</v>
      </c>
      <c r="C88" s="6" t="s">
        <v>5</v>
      </c>
      <c r="D88" s="9">
        <v>45.0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9" t="s">
        <v>6</v>
      </c>
      <c r="B89" s="19" t="s">
        <v>7</v>
      </c>
      <c r="C89" s="19" t="s">
        <v>8</v>
      </c>
      <c r="D89" s="9">
        <v>46.0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9" t="s">
        <v>6</v>
      </c>
      <c r="B90" s="19" t="s">
        <v>9</v>
      </c>
      <c r="C90" s="19" t="s">
        <v>8</v>
      </c>
      <c r="D90" s="9">
        <v>47.0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9" t="s">
        <v>6</v>
      </c>
      <c r="B91" s="19" t="s">
        <v>14</v>
      </c>
      <c r="C91" s="19" t="s">
        <v>12</v>
      </c>
      <c r="D91" s="9">
        <v>48.0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9" t="s">
        <v>10</v>
      </c>
      <c r="B92" s="19" t="s">
        <v>11</v>
      </c>
      <c r="C92" s="19" t="s">
        <v>12</v>
      </c>
      <c r="D92" s="9">
        <v>49.0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9" t="s">
        <v>15</v>
      </c>
      <c r="B93" s="19" t="s">
        <v>16</v>
      </c>
      <c r="C93" s="19" t="s">
        <v>17</v>
      </c>
      <c r="D93" s="9">
        <v>50.0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9" t="s">
        <v>15</v>
      </c>
      <c r="B94" s="19" t="s">
        <v>18</v>
      </c>
      <c r="C94" s="19" t="s">
        <v>17</v>
      </c>
      <c r="D94" s="9">
        <v>51.0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9" t="s">
        <v>15</v>
      </c>
      <c r="B95" s="19" t="s">
        <v>19</v>
      </c>
      <c r="C95" s="19" t="s">
        <v>17</v>
      </c>
      <c r="D95" s="9">
        <v>52.0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9" t="s">
        <v>15</v>
      </c>
      <c r="B96" s="19" t="s">
        <v>20</v>
      </c>
      <c r="C96" s="19" t="s">
        <v>21</v>
      </c>
      <c r="D96" s="9">
        <v>53.0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9" t="s">
        <v>15</v>
      </c>
      <c r="B97" s="19" t="s">
        <v>22</v>
      </c>
      <c r="C97" s="19" t="s">
        <v>21</v>
      </c>
      <c r="D97" s="9">
        <v>54.0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9" t="s">
        <v>15</v>
      </c>
      <c r="B98" s="19" t="s">
        <v>23</v>
      </c>
      <c r="C98" s="19" t="s">
        <v>21</v>
      </c>
      <c r="D98" s="9">
        <v>55.0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22" t="s">
        <v>24</v>
      </c>
      <c r="B99" s="22" t="s">
        <v>525</v>
      </c>
      <c r="C99" s="22"/>
      <c r="D99" s="9">
        <v>56.0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9" t="s">
        <v>27</v>
      </c>
      <c r="B100" s="19" t="s">
        <v>28</v>
      </c>
      <c r="C100" s="19" t="s">
        <v>29</v>
      </c>
      <c r="D100" s="9">
        <v>57.0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9" t="s">
        <v>27</v>
      </c>
      <c r="B101" s="19" t="s">
        <v>30</v>
      </c>
      <c r="C101" s="19" t="s">
        <v>29</v>
      </c>
      <c r="D101" s="9">
        <v>58.0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9" t="s">
        <v>27</v>
      </c>
      <c r="B102" s="19" t="s">
        <v>32</v>
      </c>
      <c r="C102" s="19" t="s">
        <v>33</v>
      </c>
      <c r="D102" s="9">
        <v>59.0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9" t="s">
        <v>27</v>
      </c>
      <c r="B103" s="19" t="s">
        <v>34</v>
      </c>
      <c r="C103" s="19" t="s">
        <v>33</v>
      </c>
      <c r="D103" s="9">
        <v>60.0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9" t="s">
        <v>27</v>
      </c>
      <c r="B104" s="19" t="s">
        <v>35</v>
      </c>
      <c r="C104" s="19" t="s">
        <v>33</v>
      </c>
      <c r="D104" s="9">
        <v>61.0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9" t="s">
        <v>36</v>
      </c>
      <c r="B105" s="19" t="s">
        <v>37</v>
      </c>
      <c r="C105" s="19" t="s">
        <v>38</v>
      </c>
      <c r="D105" s="9">
        <v>62.0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9" t="s">
        <v>36</v>
      </c>
      <c r="B106" s="19" t="s">
        <v>39</v>
      </c>
      <c r="C106" s="19" t="s">
        <v>38</v>
      </c>
      <c r="D106" s="9">
        <v>63.0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9" t="s">
        <v>36</v>
      </c>
      <c r="B107" s="19" t="s">
        <v>40</v>
      </c>
      <c r="C107" s="19" t="s">
        <v>41</v>
      </c>
      <c r="D107" s="9">
        <v>64.0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9" t="s">
        <v>36</v>
      </c>
      <c r="B108" s="19" t="s">
        <v>42</v>
      </c>
      <c r="C108" s="19" t="s">
        <v>41</v>
      </c>
      <c r="D108" s="9">
        <v>65.0</v>
      </c>
      <c r="E108" s="9"/>
      <c r="F108" s="9"/>
      <c r="G108" s="9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9"/>
      <c r="U108" s="9"/>
      <c r="V108" s="9"/>
      <c r="W108" s="9"/>
      <c r="X108" s="9"/>
      <c r="Y108" s="9"/>
      <c r="Z108" s="9"/>
    </row>
    <row r="109" ht="15.75" customHeight="1">
      <c r="A109" s="19" t="s">
        <v>36</v>
      </c>
      <c r="B109" s="12" t="s">
        <v>43</v>
      </c>
      <c r="C109" s="19" t="s">
        <v>44</v>
      </c>
      <c r="D109" s="9">
        <v>66.0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22" t="s">
        <v>24</v>
      </c>
      <c r="B110" s="22" t="s">
        <v>526</v>
      </c>
      <c r="C110" s="22"/>
      <c r="D110" s="9">
        <v>67.0</v>
      </c>
      <c r="E110" s="18"/>
      <c r="F110" s="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22" t="s">
        <v>24</v>
      </c>
      <c r="B111" s="22" t="s">
        <v>527</v>
      </c>
      <c r="C111" s="22"/>
      <c r="D111" s="9"/>
      <c r="E111" s="18"/>
      <c r="F111" s="9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9" t="s">
        <v>48</v>
      </c>
      <c r="B112" s="7" t="s">
        <v>49</v>
      </c>
      <c r="C112" s="19" t="s">
        <v>50</v>
      </c>
      <c r="D112" s="9">
        <v>68.0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9" t="s">
        <v>48</v>
      </c>
      <c r="B113" s="19" t="s">
        <v>51</v>
      </c>
      <c r="C113" s="19" t="s">
        <v>50</v>
      </c>
      <c r="D113" s="9">
        <v>69.0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9" t="s">
        <v>48</v>
      </c>
      <c r="B114" s="19" t="s">
        <v>528</v>
      </c>
      <c r="C114" s="19" t="s">
        <v>50</v>
      </c>
      <c r="D114" s="9">
        <v>70.0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9" t="s">
        <v>48</v>
      </c>
      <c r="B115" s="19" t="s">
        <v>53</v>
      </c>
      <c r="C115" s="19" t="s">
        <v>54</v>
      </c>
      <c r="D115" s="9">
        <v>71.0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9" t="s">
        <v>48</v>
      </c>
      <c r="B116" s="19" t="s">
        <v>56</v>
      </c>
      <c r="C116" s="19" t="s">
        <v>54</v>
      </c>
      <c r="D116" s="9">
        <v>72.0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9" t="s">
        <v>57</v>
      </c>
      <c r="B117" s="19" t="s">
        <v>60</v>
      </c>
      <c r="C117" s="19" t="s">
        <v>59</v>
      </c>
      <c r="D117" s="9">
        <v>73.0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9" t="s">
        <v>57</v>
      </c>
      <c r="B118" s="19" t="s">
        <v>58</v>
      </c>
      <c r="C118" s="19" t="s">
        <v>59</v>
      </c>
      <c r="D118" s="9">
        <v>74.0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9" t="s">
        <v>57</v>
      </c>
      <c r="B119" s="19" t="s">
        <v>61</v>
      </c>
      <c r="C119" s="19" t="s">
        <v>59</v>
      </c>
      <c r="D119" s="9">
        <v>75.0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9" t="s">
        <v>57</v>
      </c>
      <c r="B120" s="19" t="s">
        <v>62</v>
      </c>
      <c r="C120" s="19" t="s">
        <v>63</v>
      </c>
      <c r="D120" s="9">
        <v>76.0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9" t="s">
        <v>57</v>
      </c>
      <c r="B121" s="19" t="s">
        <v>65</v>
      </c>
      <c r="C121" s="19" t="s">
        <v>63</v>
      </c>
      <c r="D121" s="9">
        <v>77.0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9" t="s">
        <v>57</v>
      </c>
      <c r="B122" s="19" t="s">
        <v>64</v>
      </c>
      <c r="C122" s="19" t="s">
        <v>63</v>
      </c>
      <c r="D122" s="9">
        <v>78.0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22" t="s">
        <v>24</v>
      </c>
      <c r="B123" s="22" t="s">
        <v>68</v>
      </c>
      <c r="C123" s="18"/>
      <c r="D123" s="9">
        <v>79.0</v>
      </c>
      <c r="E123" s="18"/>
      <c r="F123" s="9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22" t="s">
        <v>24</v>
      </c>
      <c r="B124" s="22" t="s">
        <v>69</v>
      </c>
      <c r="C124" s="18"/>
      <c r="D124" s="9"/>
      <c r="E124" s="18"/>
      <c r="F124" s="9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9" t="s">
        <v>70</v>
      </c>
      <c r="B125" s="19" t="s">
        <v>529</v>
      </c>
      <c r="C125" s="19" t="s">
        <v>72</v>
      </c>
      <c r="D125" s="9">
        <v>80.0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9" t="s">
        <v>76</v>
      </c>
      <c r="B126" s="19" t="s">
        <v>77</v>
      </c>
      <c r="C126" s="19" t="s">
        <v>75</v>
      </c>
      <c r="D126" s="9">
        <v>81.0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9" t="s">
        <v>76</v>
      </c>
      <c r="B127" s="9" t="s">
        <v>530</v>
      </c>
      <c r="C127" s="19" t="s">
        <v>75</v>
      </c>
      <c r="D127" s="9">
        <v>82.0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9" t="s">
        <v>76</v>
      </c>
      <c r="B128" s="19" t="s">
        <v>78</v>
      </c>
      <c r="C128" s="19" t="s">
        <v>79</v>
      </c>
      <c r="D128" s="9">
        <v>83.0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9" t="s">
        <v>76</v>
      </c>
      <c r="B129" s="19" t="s">
        <v>80</v>
      </c>
      <c r="C129" s="19" t="s">
        <v>79</v>
      </c>
      <c r="D129" s="9">
        <v>84.0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9" t="s">
        <v>81</v>
      </c>
      <c r="B130" s="19" t="s">
        <v>82</v>
      </c>
      <c r="C130" s="19" t="s">
        <v>83</v>
      </c>
      <c r="D130" s="9">
        <v>85.0</v>
      </c>
      <c r="E130" s="9"/>
      <c r="F130" s="9"/>
      <c r="G130" s="9"/>
      <c r="H130" s="9"/>
      <c r="I130" s="9"/>
      <c r="J130" s="9"/>
      <c r="K130" s="9"/>
      <c r="L130" s="9"/>
      <c r="M130" s="9"/>
      <c r="N130" s="9" t="s">
        <v>531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9" t="s">
        <v>81</v>
      </c>
      <c r="B131" s="19" t="s">
        <v>84</v>
      </c>
      <c r="C131" s="19" t="s">
        <v>83</v>
      </c>
      <c r="D131" s="9">
        <v>86.0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9" t="s">
        <v>81</v>
      </c>
      <c r="B132" s="19" t="s">
        <v>85</v>
      </c>
      <c r="C132" s="19" t="s">
        <v>83</v>
      </c>
      <c r="D132" s="9">
        <v>87.0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9" t="s">
        <v>81</v>
      </c>
      <c r="B133" s="19" t="s">
        <v>88</v>
      </c>
      <c r="C133" s="19" t="s">
        <v>87</v>
      </c>
      <c r="D133" s="9">
        <v>88.0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9" t="s">
        <v>76</v>
      </c>
      <c r="B134" s="19" t="s">
        <v>86</v>
      </c>
      <c r="C134" s="19" t="s">
        <v>87</v>
      </c>
      <c r="D134" s="9">
        <v>89.0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7" t="s">
        <v>81</v>
      </c>
      <c r="B135" s="19" t="s">
        <v>90</v>
      </c>
      <c r="C135" s="19" t="s">
        <v>87</v>
      </c>
      <c r="D135" s="9">
        <v>90.0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3" t="s">
        <v>24</v>
      </c>
      <c r="B136" s="22" t="s">
        <v>91</v>
      </c>
      <c r="C136" s="18"/>
      <c r="D136" s="9">
        <v>91.0</v>
      </c>
      <c r="E136" s="18"/>
      <c r="F136" s="9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22" t="s">
        <v>24</v>
      </c>
      <c r="B137" s="22" t="s">
        <v>92</v>
      </c>
      <c r="C137" s="18"/>
      <c r="D137" s="9"/>
      <c r="E137" s="18"/>
      <c r="F137" s="9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9" t="s">
        <v>93</v>
      </c>
      <c r="B138" s="19" t="s">
        <v>94</v>
      </c>
      <c r="C138" s="19" t="s">
        <v>95</v>
      </c>
      <c r="D138" s="9">
        <v>92.0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9" t="s">
        <v>96</v>
      </c>
      <c r="B139" s="19" t="s">
        <v>97</v>
      </c>
      <c r="C139" s="19" t="s">
        <v>95</v>
      </c>
      <c r="D139" s="9">
        <v>93.0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7" t="s">
        <v>93</v>
      </c>
      <c r="B140" s="19" t="s">
        <v>98</v>
      </c>
      <c r="C140" s="19" t="s">
        <v>95</v>
      </c>
      <c r="D140" s="9">
        <v>94.0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7" t="s">
        <v>93</v>
      </c>
      <c r="B141" s="19" t="s">
        <v>99</v>
      </c>
      <c r="C141" s="19" t="s">
        <v>100</v>
      </c>
      <c r="D141" s="9">
        <v>95.0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7" t="s">
        <v>93</v>
      </c>
      <c r="B142" s="19" t="s">
        <v>101</v>
      </c>
      <c r="C142" s="19" t="s">
        <v>100</v>
      </c>
      <c r="D142" s="9">
        <v>96.0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7" t="s">
        <v>93</v>
      </c>
      <c r="B143" s="19" t="s">
        <v>102</v>
      </c>
      <c r="C143" s="19" t="s">
        <v>100</v>
      </c>
      <c r="D143" s="9">
        <v>97.0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7" t="s">
        <v>103</v>
      </c>
      <c r="B144" s="19" t="s">
        <v>104</v>
      </c>
      <c r="C144" s="19" t="s">
        <v>105</v>
      </c>
      <c r="D144" s="9">
        <v>98.0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7" t="s">
        <v>96</v>
      </c>
      <c r="B145" s="19" t="s">
        <v>106</v>
      </c>
      <c r="C145" s="19" t="s">
        <v>105</v>
      </c>
      <c r="D145" s="9">
        <v>99.0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7" t="s">
        <v>103</v>
      </c>
      <c r="B146" s="19" t="s">
        <v>107</v>
      </c>
      <c r="C146" s="19" t="s">
        <v>108</v>
      </c>
      <c r="D146" s="9">
        <v>100.0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7" t="s">
        <v>103</v>
      </c>
      <c r="B147" s="19" t="s">
        <v>109</v>
      </c>
      <c r="C147" s="19" t="s">
        <v>108</v>
      </c>
      <c r="D147" s="9">
        <v>101.0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3" t="s">
        <v>24</v>
      </c>
      <c r="B148" s="22" t="s">
        <v>110</v>
      </c>
      <c r="C148" s="22"/>
      <c r="D148" s="9">
        <v>102.0</v>
      </c>
      <c r="E148" s="18"/>
      <c r="F148" s="9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22" t="s">
        <v>24</v>
      </c>
      <c r="B149" s="22" t="s">
        <v>111</v>
      </c>
      <c r="C149" s="22"/>
      <c r="D149" s="9"/>
      <c r="E149" s="18"/>
      <c r="F149" s="9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7" t="s">
        <v>112</v>
      </c>
      <c r="B150" s="19" t="s">
        <v>113</v>
      </c>
      <c r="C150" s="19" t="s">
        <v>114</v>
      </c>
      <c r="D150" s="9">
        <v>103.0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7" t="s">
        <v>112</v>
      </c>
      <c r="B151" s="19" t="s">
        <v>116</v>
      </c>
      <c r="C151" s="19" t="s">
        <v>117</v>
      </c>
      <c r="D151" s="9">
        <v>104.0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7" t="s">
        <v>112</v>
      </c>
      <c r="B152" s="7" t="s">
        <v>118</v>
      </c>
      <c r="C152" s="19" t="s">
        <v>117</v>
      </c>
      <c r="D152" s="9">
        <v>105.0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7" t="s">
        <v>112</v>
      </c>
      <c r="B153" s="19" t="s">
        <v>119</v>
      </c>
      <c r="C153" s="19" t="s">
        <v>120</v>
      </c>
      <c r="D153" s="9">
        <v>106.0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9" t="s">
        <v>122</v>
      </c>
      <c r="B154" s="19" t="s">
        <v>123</v>
      </c>
      <c r="C154" s="19" t="s">
        <v>124</v>
      </c>
      <c r="D154" s="9">
        <v>107.0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9" t="s">
        <v>122</v>
      </c>
      <c r="B155" s="19" t="s">
        <v>126</v>
      </c>
      <c r="C155" s="19" t="s">
        <v>124</v>
      </c>
      <c r="D155" s="9">
        <v>108.0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9" t="s">
        <v>6</v>
      </c>
      <c r="B156" s="19" t="s">
        <v>129</v>
      </c>
      <c r="C156" s="19" t="s">
        <v>128</v>
      </c>
      <c r="D156" s="9">
        <v>109.0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9" t="s">
        <v>13</v>
      </c>
      <c r="B157" s="19" t="s">
        <v>202</v>
      </c>
      <c r="C157" s="19" t="s">
        <v>203</v>
      </c>
      <c r="D157" s="9">
        <v>110.0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9" t="s">
        <v>212</v>
      </c>
      <c r="B158" s="19" t="s">
        <v>213</v>
      </c>
      <c r="C158" s="19" t="s">
        <v>214</v>
      </c>
      <c r="D158" s="9">
        <v>111.0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9" t="s">
        <v>212</v>
      </c>
      <c r="B159" s="19" t="s">
        <v>532</v>
      </c>
      <c r="C159" s="19" t="s">
        <v>214</v>
      </c>
      <c r="D159" s="9">
        <v>112.0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3" t="s">
        <v>24</v>
      </c>
      <c r="B160" s="22" t="s">
        <v>533</v>
      </c>
      <c r="C160" s="22"/>
      <c r="D160" s="9">
        <v>113.0</v>
      </c>
      <c r="E160" s="18"/>
      <c r="F160" s="9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22" t="s">
        <v>24</v>
      </c>
      <c r="B161" s="22" t="s">
        <v>534</v>
      </c>
      <c r="C161" s="22"/>
      <c r="D161" s="9"/>
      <c r="E161" s="18"/>
      <c r="F161" s="9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9" t="s">
        <v>150</v>
      </c>
      <c r="B162" s="19" t="s">
        <v>151</v>
      </c>
      <c r="C162" s="19" t="s">
        <v>152</v>
      </c>
      <c r="D162" s="9">
        <v>114.0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9" t="s">
        <v>153</v>
      </c>
      <c r="B163" s="19" t="s">
        <v>154</v>
      </c>
      <c r="C163" s="19" t="s">
        <v>152</v>
      </c>
      <c r="D163" s="9">
        <v>115.0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7" t="s">
        <v>158</v>
      </c>
      <c r="B164" s="19" t="s">
        <v>159</v>
      </c>
      <c r="C164" s="19" t="s">
        <v>157</v>
      </c>
      <c r="D164" s="9">
        <v>116.0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7" t="s">
        <v>160</v>
      </c>
      <c r="B165" s="19" t="s">
        <v>161</v>
      </c>
      <c r="C165" s="19" t="s">
        <v>162</v>
      </c>
      <c r="D165" s="9">
        <v>117.0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9" t="s">
        <v>155</v>
      </c>
      <c r="B166" s="19" t="s">
        <v>163</v>
      </c>
      <c r="C166" s="19" t="s">
        <v>162</v>
      </c>
      <c r="D166" s="9">
        <v>118.0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9" t="s">
        <v>164</v>
      </c>
      <c r="B167" s="19" t="s">
        <v>165</v>
      </c>
      <c r="C167" s="19" t="s">
        <v>166</v>
      </c>
      <c r="D167" s="9">
        <v>119.0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9" t="s">
        <v>164</v>
      </c>
      <c r="B168" s="19" t="s">
        <v>535</v>
      </c>
      <c r="C168" s="19" t="s">
        <v>166</v>
      </c>
      <c r="D168" s="9">
        <v>120.0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9" t="s">
        <v>164</v>
      </c>
      <c r="B169" s="19" t="s">
        <v>168</v>
      </c>
      <c r="C169" s="19" t="s">
        <v>166</v>
      </c>
      <c r="D169" s="9">
        <v>121.0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6" t="s">
        <v>257</v>
      </c>
      <c r="B170" s="15" t="s">
        <v>258</v>
      </c>
      <c r="C170" s="15" t="s">
        <v>259</v>
      </c>
      <c r="D170" s="9">
        <v>122.0</v>
      </c>
      <c r="E170" s="8"/>
      <c r="F170" s="9"/>
      <c r="V170" s="18"/>
      <c r="W170" s="18"/>
      <c r="X170" s="18"/>
      <c r="Y170" s="18"/>
      <c r="Z170" s="18"/>
    </row>
    <row r="171" ht="15.75" customHeight="1">
      <c r="A171" s="16" t="s">
        <v>219</v>
      </c>
      <c r="B171" s="15" t="s">
        <v>260</v>
      </c>
      <c r="C171" s="15" t="s">
        <v>259</v>
      </c>
      <c r="D171" s="9">
        <v>123.0</v>
      </c>
      <c r="E171" s="8"/>
      <c r="F171" s="9"/>
      <c r="V171" s="18"/>
      <c r="W171" s="18"/>
      <c r="X171" s="18"/>
      <c r="Y171" s="18"/>
      <c r="Z171" s="18"/>
    </row>
    <row r="172" ht="15.75" customHeight="1">
      <c r="A172" s="13" t="s">
        <v>24</v>
      </c>
      <c r="B172" s="18" t="s">
        <v>536</v>
      </c>
      <c r="C172" s="18"/>
      <c r="D172" s="9">
        <v>124.0</v>
      </c>
      <c r="E172" s="18"/>
      <c r="F172" s="9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22" t="s">
        <v>24</v>
      </c>
      <c r="B173" s="18" t="s">
        <v>537</v>
      </c>
      <c r="C173" s="18"/>
      <c r="D173" s="9"/>
      <c r="E173" s="18"/>
      <c r="F173" s="9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9" t="s">
        <v>164</v>
      </c>
      <c r="B174" s="19" t="s">
        <v>169</v>
      </c>
      <c r="C174" s="19" t="s">
        <v>170</v>
      </c>
      <c r="D174" s="9">
        <v>130.0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9" t="s">
        <v>164</v>
      </c>
      <c r="B175" s="19" t="s">
        <v>171</v>
      </c>
      <c r="C175" s="19" t="s">
        <v>170</v>
      </c>
      <c r="D175" s="9">
        <v>131.0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7" t="s">
        <v>132</v>
      </c>
      <c r="B176" s="19" t="s">
        <v>133</v>
      </c>
      <c r="C176" s="19" t="s">
        <v>134</v>
      </c>
      <c r="D176" s="9">
        <v>132.0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7" t="s">
        <v>132</v>
      </c>
      <c r="B177" s="19" t="s">
        <v>135</v>
      </c>
      <c r="C177" s="19" t="s">
        <v>134</v>
      </c>
      <c r="D177" s="9">
        <v>133.0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7" t="s">
        <v>15</v>
      </c>
      <c r="B178" s="19" t="s">
        <v>140</v>
      </c>
      <c r="C178" s="19" t="s">
        <v>141</v>
      </c>
      <c r="D178" s="9">
        <v>134.0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7" t="s">
        <v>15</v>
      </c>
      <c r="B179" s="19" t="s">
        <v>142</v>
      </c>
      <c r="C179" s="19" t="s">
        <v>141</v>
      </c>
      <c r="D179" s="9">
        <v>135.0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9" t="s">
        <v>219</v>
      </c>
      <c r="B180" s="19" t="s">
        <v>220</v>
      </c>
      <c r="C180" s="19" t="s">
        <v>221</v>
      </c>
      <c r="D180" s="9">
        <v>136.0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9" t="s">
        <v>219</v>
      </c>
      <c r="B181" s="19" t="s">
        <v>226</v>
      </c>
      <c r="C181" s="19" t="s">
        <v>227</v>
      </c>
      <c r="D181" s="9">
        <v>137.0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22" t="s">
        <v>24</v>
      </c>
      <c r="B182" s="22"/>
      <c r="C182" s="22"/>
      <c r="D182" s="9">
        <v>138.0</v>
      </c>
      <c r="E182" s="18"/>
      <c r="F182" s="9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22" t="s">
        <v>24</v>
      </c>
      <c r="B183" s="18"/>
      <c r="C183" s="18"/>
      <c r="D183" s="9"/>
      <c r="E183" s="18"/>
      <c r="F183" s="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8"/>
    <hyperlink r:id="rId50" ref="E59"/>
    <hyperlink r:id="rId51" ref="E60"/>
    <hyperlink r:id="rId52" ref="E61"/>
    <hyperlink r:id="rId53" ref="E62"/>
    <hyperlink r:id="rId54" ref="E63"/>
    <hyperlink r:id="rId55" ref="E64"/>
    <hyperlink r:id="rId56" ref="E65"/>
    <hyperlink r:id="rId57" ref="E66"/>
    <hyperlink r:id="rId58" ref="E67"/>
    <hyperlink r:id="rId59" ref="E69"/>
    <hyperlink r:id="rId60" ref="E70"/>
    <hyperlink r:id="rId61" ref="E71"/>
    <hyperlink r:id="rId62" ref="E72"/>
    <hyperlink r:id="rId63" ref="E73"/>
    <hyperlink r:id="rId64" ref="E74"/>
    <hyperlink r:id="rId65" ref="E75"/>
    <hyperlink r:id="rId66" ref="E76"/>
    <hyperlink r:id="rId67" ref="E77"/>
    <hyperlink r:id="rId68" ref="E78"/>
  </hyperlinks>
  <drawing r:id="rId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8.63"/>
    <col customWidth="1" min="3" max="3" width="10.75"/>
    <col customWidth="1" min="4" max="6" width="12.63"/>
  </cols>
  <sheetData>
    <row r="1" ht="15.75" customHeight="1">
      <c r="A1" s="32" t="s">
        <v>538</v>
      </c>
      <c r="B1" s="33" t="s">
        <v>539</v>
      </c>
      <c r="C1" s="15" t="s">
        <v>540</v>
      </c>
    </row>
    <row r="2" ht="15.75" customHeight="1">
      <c r="A2" s="34" t="s">
        <v>541</v>
      </c>
      <c r="B2" s="35">
        <v>1.0</v>
      </c>
      <c r="C2" s="15"/>
    </row>
    <row r="3" ht="15.75" customHeight="1">
      <c r="A3" s="16" t="s">
        <v>542</v>
      </c>
      <c r="B3" s="35">
        <v>2.0</v>
      </c>
      <c r="C3" s="15"/>
    </row>
    <row r="4" ht="15.75" customHeight="1">
      <c r="A4" s="34" t="s">
        <v>543</v>
      </c>
      <c r="B4" s="35">
        <v>3.0</v>
      </c>
      <c r="C4" s="15" t="s">
        <v>544</v>
      </c>
    </row>
    <row r="5" ht="15.75" customHeight="1">
      <c r="A5" s="34" t="s">
        <v>545</v>
      </c>
      <c r="B5" s="35">
        <v>4.0</v>
      </c>
      <c r="C5" s="15" t="s">
        <v>546</v>
      </c>
    </row>
    <row r="6" ht="15.75" customHeight="1">
      <c r="A6" s="34" t="s">
        <v>547</v>
      </c>
      <c r="B6" s="35">
        <v>5.0</v>
      </c>
      <c r="C6" s="15" t="s">
        <v>548</v>
      </c>
    </row>
    <row r="7" ht="15.75" customHeight="1">
      <c r="A7" s="34" t="s">
        <v>549</v>
      </c>
      <c r="B7" s="35">
        <v>6.0</v>
      </c>
      <c r="C7" s="15" t="s">
        <v>550</v>
      </c>
    </row>
    <row r="8" ht="15.75" customHeight="1">
      <c r="A8" s="34" t="s">
        <v>551</v>
      </c>
      <c r="B8" s="35">
        <v>7.0</v>
      </c>
      <c r="C8" s="15" t="s">
        <v>552</v>
      </c>
    </row>
    <row r="9" ht="15.75" customHeight="1">
      <c r="A9" s="36" t="s">
        <v>553</v>
      </c>
      <c r="B9" s="35">
        <v>8.0</v>
      </c>
      <c r="C9" s="15"/>
    </row>
    <row r="10" ht="15.75" customHeight="1">
      <c r="A10" s="34" t="s">
        <v>554</v>
      </c>
      <c r="B10" s="35">
        <v>9.0</v>
      </c>
      <c r="C10" s="15" t="s">
        <v>555</v>
      </c>
    </row>
    <row r="11" ht="15.75" customHeight="1">
      <c r="A11" s="34" t="s">
        <v>556</v>
      </c>
      <c r="B11" s="35">
        <v>10.0</v>
      </c>
      <c r="C11" s="15" t="s">
        <v>557</v>
      </c>
    </row>
    <row r="12" ht="15.75" customHeight="1">
      <c r="A12" s="34" t="s">
        <v>558</v>
      </c>
      <c r="B12" s="35">
        <v>11.0</v>
      </c>
      <c r="C12" s="15" t="s">
        <v>559</v>
      </c>
    </row>
    <row r="13" ht="15.75" customHeight="1">
      <c r="A13" s="34" t="s">
        <v>560</v>
      </c>
      <c r="B13" s="35">
        <v>12.0</v>
      </c>
      <c r="C13" s="15" t="s">
        <v>561</v>
      </c>
    </row>
    <row r="14" ht="15.75" customHeight="1">
      <c r="A14" s="34" t="s">
        <v>562</v>
      </c>
      <c r="B14" s="35">
        <v>13.0</v>
      </c>
      <c r="C14" s="15" t="s">
        <v>563</v>
      </c>
    </row>
    <row r="15" ht="15.75" customHeight="1">
      <c r="A15" s="36" t="s">
        <v>564</v>
      </c>
      <c r="B15" s="35">
        <v>14.0</v>
      </c>
      <c r="C15" s="15"/>
    </row>
    <row r="16" ht="15.75" customHeight="1">
      <c r="A16" s="34" t="s">
        <v>565</v>
      </c>
      <c r="B16" s="35">
        <v>15.0</v>
      </c>
      <c r="C16" s="15" t="s">
        <v>566</v>
      </c>
    </row>
    <row r="17" ht="15.75" customHeight="1">
      <c r="A17" s="34" t="s">
        <v>567</v>
      </c>
      <c r="B17" s="35">
        <v>16.0</v>
      </c>
      <c r="C17" s="15" t="s">
        <v>568</v>
      </c>
    </row>
    <row r="18" ht="15.75" customHeight="1">
      <c r="A18" s="34" t="s">
        <v>569</v>
      </c>
      <c r="B18" s="35">
        <v>17.0</v>
      </c>
      <c r="C18" s="15" t="s">
        <v>570</v>
      </c>
    </row>
    <row r="19" ht="15.75" customHeight="1">
      <c r="A19" s="34" t="s">
        <v>571</v>
      </c>
      <c r="B19" s="35">
        <v>18.0</v>
      </c>
    </row>
    <row r="20" ht="15.75" customHeight="1">
      <c r="A20" s="34" t="s">
        <v>572</v>
      </c>
      <c r="B20" s="35">
        <v>19.0</v>
      </c>
    </row>
    <row r="21" ht="15.75" customHeight="1">
      <c r="A21" s="36" t="s">
        <v>573</v>
      </c>
      <c r="B21" s="35">
        <v>20.0</v>
      </c>
      <c r="C21" s="15"/>
    </row>
    <row r="22" ht="15.75" customHeight="1">
      <c r="A22" s="34" t="s">
        <v>574</v>
      </c>
      <c r="B22" s="35">
        <v>21.0</v>
      </c>
      <c r="C22" s="15" t="s">
        <v>575</v>
      </c>
    </row>
    <row r="23" ht="15.75" customHeight="1">
      <c r="A23" s="34" t="s">
        <v>576</v>
      </c>
      <c r="B23" s="35">
        <v>22.0</v>
      </c>
      <c r="C23" s="15" t="s">
        <v>577</v>
      </c>
    </row>
    <row r="24" ht="15.75" customHeight="1">
      <c r="A24" s="34" t="s">
        <v>578</v>
      </c>
      <c r="B24" s="35">
        <v>23.0</v>
      </c>
      <c r="C24" s="15" t="s">
        <v>579</v>
      </c>
    </row>
    <row r="25" ht="15.75" customHeight="1">
      <c r="A25" s="34" t="s">
        <v>580</v>
      </c>
      <c r="B25" s="35">
        <v>24.0</v>
      </c>
      <c r="C25" s="15" t="s">
        <v>581</v>
      </c>
    </row>
    <row r="26" ht="15.75" customHeight="1">
      <c r="A26" s="34" t="s">
        <v>582</v>
      </c>
      <c r="B26" s="35">
        <v>25.0</v>
      </c>
      <c r="C26" s="15" t="s">
        <v>583</v>
      </c>
    </row>
    <row r="27" ht="15.75" customHeight="1">
      <c r="A27" s="36" t="s">
        <v>584</v>
      </c>
      <c r="B27" s="35">
        <v>26.0</v>
      </c>
      <c r="C27" s="15"/>
    </row>
    <row r="28" ht="15.75" customHeight="1">
      <c r="A28" s="34" t="s">
        <v>585</v>
      </c>
      <c r="B28" s="35">
        <v>27.0</v>
      </c>
      <c r="C28" s="15" t="s">
        <v>586</v>
      </c>
    </row>
    <row r="29" ht="15.75" customHeight="1">
      <c r="A29" s="34" t="s">
        <v>587</v>
      </c>
      <c r="B29" s="35">
        <v>28.0</v>
      </c>
      <c r="C29" s="15" t="s">
        <v>588</v>
      </c>
    </row>
    <row r="30" ht="15.75" customHeight="1">
      <c r="A30" s="34" t="s">
        <v>589</v>
      </c>
      <c r="B30" s="35">
        <v>29.0</v>
      </c>
      <c r="C30" s="15" t="s">
        <v>590</v>
      </c>
    </row>
    <row r="31" ht="15.75" customHeight="1">
      <c r="A31" s="34" t="s">
        <v>591</v>
      </c>
      <c r="B31" s="35">
        <v>30.0</v>
      </c>
      <c r="C31" s="15" t="s">
        <v>592</v>
      </c>
    </row>
    <row r="32" ht="15.75" customHeight="1">
      <c r="A32" s="34" t="s">
        <v>593</v>
      </c>
      <c r="B32" s="35">
        <v>31.0</v>
      </c>
      <c r="C32" s="15" t="s">
        <v>594</v>
      </c>
    </row>
    <row r="33" ht="15.75" customHeight="1">
      <c r="A33" s="36" t="s">
        <v>595</v>
      </c>
      <c r="B33" s="35">
        <v>32.0</v>
      </c>
      <c r="C33" s="15"/>
    </row>
    <row r="34" ht="15.75" customHeight="1">
      <c r="A34" s="34" t="s">
        <v>596</v>
      </c>
      <c r="B34" s="35">
        <v>33.0</v>
      </c>
      <c r="C34" s="15" t="s">
        <v>597</v>
      </c>
    </row>
    <row r="35" ht="15.75" customHeight="1">
      <c r="A35" s="34" t="s">
        <v>598</v>
      </c>
      <c r="B35" s="35">
        <v>34.0</v>
      </c>
      <c r="C35" s="15" t="s">
        <v>599</v>
      </c>
    </row>
    <row r="36" ht="15.75" customHeight="1">
      <c r="A36" s="34" t="s">
        <v>600</v>
      </c>
      <c r="B36" s="35">
        <v>35.0</v>
      </c>
    </row>
    <row r="37" ht="15.75" customHeight="1">
      <c r="A37" s="36" t="s">
        <v>601</v>
      </c>
      <c r="B37" s="35">
        <v>36.0</v>
      </c>
    </row>
    <row r="38" ht="15.75" customHeight="1">
      <c r="A38" s="34"/>
      <c r="B38" s="35"/>
    </row>
    <row r="39" ht="15.75" customHeight="1">
      <c r="A39" s="34"/>
      <c r="B39" s="35"/>
    </row>
    <row r="40" ht="15.75" customHeight="1">
      <c r="A40" s="34"/>
      <c r="B40" s="35"/>
    </row>
    <row r="41" ht="15.75" customHeight="1">
      <c r="A41" s="34"/>
      <c r="B41" s="35"/>
    </row>
    <row r="42" ht="15.75" customHeight="1">
      <c r="A42" s="34"/>
      <c r="B42" s="35"/>
    </row>
    <row r="43" ht="15.75" customHeight="1">
      <c r="A43" s="34"/>
      <c r="B43" s="35"/>
    </row>
    <row r="44" ht="15.75" customHeight="1">
      <c r="A44" s="34"/>
      <c r="B44" s="35"/>
    </row>
    <row r="45" ht="15.75" customHeight="1">
      <c r="A45" s="34"/>
      <c r="B45" s="35"/>
    </row>
    <row r="46" ht="15.75" customHeight="1">
      <c r="A46" s="34"/>
      <c r="B46" s="35"/>
    </row>
    <row r="47" ht="15.75" customHeight="1">
      <c r="A47" s="34"/>
      <c r="B47" s="35"/>
    </row>
    <row r="48" ht="15.75" customHeight="1">
      <c r="A48" s="34"/>
      <c r="B48" s="35"/>
    </row>
    <row r="49" ht="15.75" customHeight="1">
      <c r="A49" s="34"/>
      <c r="B49" s="35"/>
    </row>
    <row r="50" ht="15.75" customHeight="1">
      <c r="A50" s="34"/>
      <c r="B50" s="35"/>
    </row>
    <row r="51" ht="15.75" customHeight="1">
      <c r="A51" s="34"/>
      <c r="B51" s="35"/>
    </row>
    <row r="52" ht="15.75" customHeight="1">
      <c r="A52" s="34"/>
      <c r="B52" s="35"/>
    </row>
    <row r="53" ht="15.75" customHeight="1">
      <c r="A53" s="34"/>
      <c r="B53" s="35"/>
    </row>
    <row r="54" ht="15.75" customHeight="1">
      <c r="A54" s="34"/>
      <c r="B54" s="35"/>
    </row>
    <row r="55" ht="15.75" customHeight="1">
      <c r="A55" s="34"/>
      <c r="B55" s="35"/>
    </row>
    <row r="56" ht="15.75" customHeight="1">
      <c r="A56" s="34"/>
      <c r="B56" s="35"/>
    </row>
    <row r="57" ht="15.75" customHeight="1">
      <c r="A57" s="34"/>
      <c r="B57" s="35"/>
    </row>
    <row r="58" ht="15.75" customHeight="1">
      <c r="A58" s="34"/>
      <c r="B58" s="35"/>
    </row>
    <row r="59" ht="15.75" customHeight="1">
      <c r="A59" s="34"/>
      <c r="B59" s="35"/>
    </row>
    <row r="60" ht="15.75" customHeight="1">
      <c r="A60" s="34"/>
      <c r="B60" s="35"/>
    </row>
    <row r="61" ht="15.75" customHeight="1">
      <c r="A61" s="34"/>
      <c r="B61" s="35"/>
    </row>
    <row r="62" ht="15.75" customHeight="1">
      <c r="A62" s="34"/>
      <c r="B62" s="35"/>
    </row>
    <row r="63" ht="15.75" customHeight="1">
      <c r="A63" s="34"/>
      <c r="B63" s="35"/>
    </row>
    <row r="64" ht="15.75" customHeight="1">
      <c r="A64" s="34"/>
      <c r="B64" s="35"/>
    </row>
    <row r="65" ht="15.75" customHeight="1">
      <c r="A65" s="34"/>
      <c r="B65" s="35"/>
    </row>
    <row r="66" ht="15.75" customHeight="1">
      <c r="A66" s="34"/>
      <c r="B66" s="35"/>
    </row>
    <row r="67" ht="15.75" customHeight="1">
      <c r="A67" s="34"/>
      <c r="B67" s="35"/>
    </row>
    <row r="68" ht="15.75" customHeight="1">
      <c r="A68" s="34"/>
      <c r="B68" s="35"/>
    </row>
    <row r="69" ht="15.75" customHeight="1">
      <c r="A69" s="34"/>
      <c r="B69" s="35"/>
    </row>
    <row r="70" ht="15.75" customHeight="1">
      <c r="A70" s="34"/>
      <c r="B70" s="35"/>
    </row>
    <row r="71" ht="15.75" customHeight="1">
      <c r="A71" s="34"/>
      <c r="B71" s="35"/>
    </row>
    <row r="72" ht="15.75" customHeight="1">
      <c r="A72" s="34"/>
      <c r="B72" s="35"/>
    </row>
    <row r="73" ht="15.75" customHeight="1">
      <c r="A73" s="34"/>
      <c r="B73" s="35"/>
    </row>
    <row r="74" ht="15.75" customHeight="1">
      <c r="A74" s="34"/>
      <c r="B74" s="35"/>
    </row>
    <row r="75" ht="15.75" customHeight="1">
      <c r="A75" s="34"/>
      <c r="B75" s="35"/>
    </row>
    <row r="76" ht="15.75" customHeight="1">
      <c r="A76" s="34"/>
      <c r="B76" s="35"/>
    </row>
    <row r="77" ht="15.75" customHeight="1">
      <c r="A77" s="34"/>
      <c r="B77" s="35"/>
    </row>
    <row r="78" ht="15.75" customHeight="1">
      <c r="A78" s="34"/>
      <c r="B78" s="35"/>
    </row>
    <row r="79" ht="15.75" customHeight="1">
      <c r="A79" s="34"/>
      <c r="B79" s="35"/>
    </row>
    <row r="80" ht="15.75" customHeight="1">
      <c r="A80" s="34"/>
      <c r="B80" s="35"/>
    </row>
    <row r="81" ht="15.75" customHeight="1">
      <c r="A81" s="34"/>
      <c r="B81" s="35"/>
    </row>
    <row r="82" ht="15.75" customHeight="1">
      <c r="A82" s="34"/>
      <c r="B82" s="35"/>
    </row>
    <row r="83" ht="15.75" customHeight="1">
      <c r="A83" s="34"/>
      <c r="B83" s="35"/>
    </row>
    <row r="84" ht="15.75" customHeight="1">
      <c r="A84" s="34"/>
      <c r="B84" s="35"/>
    </row>
    <row r="85" ht="15.75" customHeight="1">
      <c r="A85" s="34"/>
      <c r="B85" s="35"/>
    </row>
    <row r="86" ht="15.75" customHeight="1">
      <c r="A86" s="34"/>
      <c r="B86" s="35"/>
    </row>
    <row r="87" ht="15.75" customHeight="1">
      <c r="A87" s="34"/>
      <c r="B87" s="35"/>
    </row>
    <row r="88" ht="15.75" customHeight="1">
      <c r="A88" s="34"/>
      <c r="B88" s="35"/>
    </row>
    <row r="89" ht="15.75" customHeight="1">
      <c r="A89" s="34"/>
      <c r="B89" s="35"/>
    </row>
    <row r="90" ht="15.75" customHeight="1">
      <c r="A90" s="34"/>
      <c r="B90" s="35"/>
    </row>
    <row r="91" ht="15.75" customHeight="1">
      <c r="A91" s="34"/>
      <c r="B91" s="35"/>
    </row>
    <row r="92" ht="15.75" customHeight="1">
      <c r="A92" s="34"/>
      <c r="B92" s="35"/>
    </row>
    <row r="93" ht="15.75" customHeight="1">
      <c r="A93" s="34"/>
      <c r="B93" s="35"/>
    </row>
    <row r="94" ht="15.75" customHeight="1">
      <c r="A94" s="34"/>
      <c r="B94" s="35"/>
    </row>
    <row r="95" ht="15.75" customHeight="1">
      <c r="A95" s="34"/>
      <c r="B95" s="35"/>
    </row>
    <row r="96" ht="15.75" customHeight="1">
      <c r="A96" s="34"/>
      <c r="B96" s="35"/>
    </row>
    <row r="97" ht="15.75" customHeight="1">
      <c r="A97" s="34"/>
      <c r="B97" s="35"/>
    </row>
    <row r="98" ht="15.75" customHeight="1">
      <c r="A98" s="34"/>
      <c r="B98" s="35"/>
    </row>
    <row r="99" ht="15.75" customHeight="1">
      <c r="A99" s="34"/>
      <c r="B99" s="35"/>
    </row>
    <row r="100" ht="15.75" customHeight="1">
      <c r="A100" s="34"/>
      <c r="B100" s="35"/>
    </row>
    <row r="101" ht="15.75" customHeight="1">
      <c r="A101" s="34"/>
      <c r="B101" s="35"/>
    </row>
    <row r="102" ht="15.75" customHeight="1">
      <c r="A102" s="34"/>
      <c r="B102" s="35"/>
    </row>
    <row r="103" ht="15.75" customHeight="1">
      <c r="A103" s="34"/>
      <c r="B103" s="35"/>
    </row>
    <row r="104" ht="15.75" customHeight="1">
      <c r="A104" s="34"/>
      <c r="B104" s="35"/>
    </row>
    <row r="105" ht="15.75" customHeight="1">
      <c r="A105" s="34"/>
      <c r="B105" s="35"/>
    </row>
    <row r="106" ht="15.75" customHeight="1">
      <c r="A106" s="34"/>
      <c r="B106" s="35"/>
    </row>
    <row r="107" ht="15.75" customHeight="1">
      <c r="A107" s="34"/>
      <c r="B107" s="35"/>
    </row>
    <row r="108" ht="15.75" customHeight="1">
      <c r="A108" s="34"/>
      <c r="B108" s="35"/>
    </row>
    <row r="109" ht="15.75" customHeight="1">
      <c r="A109" s="34"/>
      <c r="B109" s="35"/>
    </row>
    <row r="110" ht="15.75" customHeight="1">
      <c r="A110" s="34"/>
      <c r="B110" s="35"/>
    </row>
    <row r="111" ht="15.75" customHeight="1">
      <c r="A111" s="34"/>
      <c r="B111" s="35"/>
    </row>
    <row r="112" ht="15.75" customHeight="1">
      <c r="A112" s="34"/>
      <c r="B112" s="35"/>
    </row>
    <row r="113" ht="15.75" customHeight="1">
      <c r="A113" s="34"/>
      <c r="B113" s="35"/>
    </row>
    <row r="114" ht="15.75" customHeight="1">
      <c r="A114" s="34"/>
      <c r="B114" s="35"/>
    </row>
    <row r="115" ht="15.75" customHeight="1">
      <c r="A115" s="34"/>
      <c r="B115" s="35"/>
    </row>
    <row r="116" ht="15.75" customHeight="1">
      <c r="A116" s="34"/>
      <c r="B116" s="35"/>
    </row>
    <row r="117" ht="15.75" customHeight="1">
      <c r="A117" s="34"/>
      <c r="B117" s="35"/>
    </row>
    <row r="118" ht="15.75" customHeight="1">
      <c r="A118" s="34"/>
      <c r="B118" s="35"/>
    </row>
    <row r="119" ht="15.75" customHeight="1">
      <c r="A119" s="34"/>
      <c r="B119" s="35"/>
    </row>
    <row r="120" ht="15.75" customHeight="1">
      <c r="A120" s="34"/>
      <c r="B120" s="35"/>
    </row>
    <row r="121" ht="15.75" customHeight="1">
      <c r="A121" s="34"/>
      <c r="B121" s="35"/>
    </row>
    <row r="122" ht="15.75" customHeight="1">
      <c r="A122" s="34"/>
      <c r="B122" s="35"/>
    </row>
    <row r="123" ht="15.75" customHeight="1">
      <c r="A123" s="34"/>
      <c r="B123" s="35"/>
    </row>
    <row r="124" ht="15.75" customHeight="1">
      <c r="A124" s="34"/>
      <c r="B124" s="35"/>
    </row>
    <row r="125" ht="15.75" customHeight="1">
      <c r="A125" s="34"/>
      <c r="B125" s="35"/>
    </row>
    <row r="126" ht="15.75" customHeight="1">
      <c r="A126" s="34"/>
      <c r="B126" s="35"/>
    </row>
    <row r="127" ht="15.75" customHeight="1">
      <c r="A127" s="34"/>
      <c r="B127" s="35"/>
    </row>
    <row r="128" ht="15.75" customHeight="1">
      <c r="A128" s="34"/>
      <c r="B128" s="35"/>
    </row>
    <row r="129" ht="15.75" customHeight="1">
      <c r="A129" s="34"/>
      <c r="B129" s="35"/>
    </row>
    <row r="130" ht="15.75" customHeight="1">
      <c r="A130" s="34"/>
      <c r="B130" s="35"/>
    </row>
    <row r="131" ht="15.75" customHeight="1">
      <c r="A131" s="34"/>
      <c r="B131" s="35"/>
    </row>
    <row r="132" ht="15.75" customHeight="1">
      <c r="A132" s="34"/>
      <c r="B132" s="35"/>
    </row>
    <row r="133" ht="15.75" customHeight="1">
      <c r="A133" s="34"/>
      <c r="B133" s="35"/>
    </row>
    <row r="134" ht="15.75" customHeight="1">
      <c r="A134" s="34"/>
      <c r="B134" s="35"/>
    </row>
    <row r="135" ht="15.75" customHeight="1">
      <c r="A135" s="34"/>
      <c r="B135" s="35"/>
    </row>
    <row r="136" ht="15.75" customHeight="1">
      <c r="A136" s="34"/>
      <c r="B136" s="35"/>
    </row>
    <row r="137" ht="15.75" customHeight="1">
      <c r="A137" s="34"/>
      <c r="B137" s="35"/>
    </row>
    <row r="138" ht="15.75" customHeight="1">
      <c r="A138" s="34"/>
      <c r="B138" s="35"/>
    </row>
    <row r="139" ht="15.75" customHeight="1">
      <c r="A139" s="34"/>
      <c r="B139" s="35"/>
    </row>
    <row r="140" ht="15.75" customHeight="1">
      <c r="A140" s="34"/>
      <c r="B140" s="35"/>
    </row>
    <row r="141" ht="15.75" customHeight="1">
      <c r="A141" s="34"/>
      <c r="B141" s="35"/>
    </row>
    <row r="142" ht="15.75" customHeight="1">
      <c r="A142" s="34"/>
      <c r="B142" s="35"/>
    </row>
    <row r="143" ht="15.75" customHeight="1">
      <c r="A143" s="34"/>
      <c r="B143" s="35"/>
    </row>
    <row r="144" ht="15.75" customHeight="1">
      <c r="A144" s="34"/>
      <c r="B144" s="35"/>
    </row>
    <row r="145" ht="15.75" customHeight="1">
      <c r="A145" s="34"/>
      <c r="B145" s="35"/>
    </row>
    <row r="146" ht="15.75" customHeight="1">
      <c r="A146" s="34"/>
      <c r="B146" s="35"/>
    </row>
    <row r="147" ht="15.75" customHeight="1">
      <c r="A147" s="34"/>
      <c r="B147" s="35"/>
    </row>
    <row r="148" ht="15.75" customHeight="1">
      <c r="A148" s="34"/>
      <c r="B148" s="35"/>
    </row>
    <row r="149" ht="15.75" customHeight="1">
      <c r="A149" s="34"/>
      <c r="B149" s="35"/>
    </row>
    <row r="150" ht="15.75" customHeight="1">
      <c r="A150" s="34"/>
      <c r="B150" s="35"/>
    </row>
    <row r="151" ht="15.75" customHeight="1">
      <c r="A151" s="34"/>
      <c r="B151" s="35"/>
    </row>
    <row r="152" ht="15.75" customHeight="1">
      <c r="A152" s="34"/>
      <c r="B152" s="35"/>
    </row>
    <row r="153" ht="15.75" customHeight="1">
      <c r="A153" s="34"/>
      <c r="B153" s="35"/>
    </row>
    <row r="154" ht="15.75" customHeight="1">
      <c r="A154" s="34"/>
      <c r="B154" s="35"/>
    </row>
    <row r="155" ht="15.75" customHeight="1">
      <c r="A155" s="34"/>
      <c r="B155" s="35"/>
    </row>
    <row r="156" ht="15.75" customHeight="1">
      <c r="A156" s="34"/>
      <c r="B156" s="35"/>
    </row>
    <row r="157" ht="15.75" customHeight="1">
      <c r="A157" s="34"/>
      <c r="B157" s="35"/>
    </row>
    <row r="158" ht="15.75" customHeight="1">
      <c r="A158" s="34"/>
      <c r="B158" s="35"/>
    </row>
    <row r="159" ht="15.75" customHeight="1">
      <c r="A159" s="34"/>
      <c r="B159" s="35"/>
    </row>
    <row r="160" ht="15.75" customHeight="1">
      <c r="A160" s="34"/>
      <c r="B160" s="35"/>
    </row>
    <row r="161" ht="15.75" customHeight="1">
      <c r="A161" s="34"/>
      <c r="B161" s="35"/>
    </row>
    <row r="162" ht="15.75" customHeight="1">
      <c r="A162" s="34"/>
      <c r="B162" s="35"/>
    </row>
    <row r="163" ht="15.75" customHeight="1">
      <c r="A163" s="34"/>
      <c r="B163" s="35"/>
    </row>
    <row r="164" ht="15.75" customHeight="1">
      <c r="A164" s="34"/>
      <c r="B164" s="35"/>
    </row>
    <row r="165" ht="15.75" customHeight="1">
      <c r="A165" s="34"/>
      <c r="B165" s="35"/>
    </row>
    <row r="166" ht="15.75" customHeight="1">
      <c r="A166" s="34"/>
      <c r="B166" s="35"/>
    </row>
    <row r="167" ht="15.75" customHeight="1">
      <c r="A167" s="34"/>
      <c r="B167" s="35"/>
    </row>
    <row r="168" ht="15.75" customHeight="1">
      <c r="A168" s="34"/>
      <c r="B168" s="35"/>
    </row>
    <row r="169" ht="15.75" customHeight="1">
      <c r="A169" s="34"/>
      <c r="B169" s="35"/>
    </row>
    <row r="170" ht="15.75" customHeight="1">
      <c r="A170" s="34"/>
      <c r="B170" s="35"/>
    </row>
    <row r="171" ht="15.75" customHeight="1">
      <c r="A171" s="34"/>
      <c r="B171" s="35"/>
    </row>
    <row r="172" ht="15.75" customHeight="1">
      <c r="A172" s="34"/>
      <c r="B172" s="35"/>
    </row>
    <row r="173" ht="15.75" customHeight="1">
      <c r="A173" s="34"/>
      <c r="B173" s="35"/>
    </row>
    <row r="174" ht="15.75" customHeight="1">
      <c r="A174" s="34"/>
      <c r="B174" s="35"/>
    </row>
    <row r="175" ht="15.75" customHeight="1">
      <c r="A175" s="34"/>
      <c r="B175" s="35"/>
    </row>
    <row r="176" ht="15.75" customHeight="1">
      <c r="A176" s="34"/>
      <c r="B176" s="35"/>
    </row>
    <row r="177" ht="15.75" customHeight="1">
      <c r="A177" s="34"/>
      <c r="B177" s="35"/>
    </row>
    <row r="178" ht="15.75" customHeight="1">
      <c r="A178" s="34"/>
      <c r="B178" s="35"/>
    </row>
    <row r="179" ht="15.75" customHeight="1">
      <c r="A179" s="34"/>
      <c r="B179" s="35"/>
    </row>
    <row r="180" ht="15.75" customHeight="1">
      <c r="A180" s="34"/>
      <c r="B180" s="35"/>
    </row>
    <row r="181" ht="15.75" customHeight="1">
      <c r="A181" s="34"/>
      <c r="B181" s="35"/>
    </row>
    <row r="182" ht="15.75" customHeight="1">
      <c r="A182" s="34"/>
      <c r="B182" s="35"/>
    </row>
    <row r="183" ht="15.75" customHeight="1">
      <c r="A183" s="34"/>
      <c r="B183" s="35"/>
    </row>
    <row r="184" ht="15.75" customHeight="1">
      <c r="A184" s="34"/>
      <c r="B184" s="35"/>
    </row>
    <row r="185" ht="15.75" customHeight="1">
      <c r="A185" s="34"/>
      <c r="B185" s="35"/>
    </row>
    <row r="186" ht="15.75" customHeight="1">
      <c r="A186" s="34"/>
      <c r="B186" s="35"/>
    </row>
    <row r="187" ht="15.75" customHeight="1">
      <c r="A187" s="34"/>
      <c r="B187" s="35"/>
    </row>
    <row r="188" ht="15.75" customHeight="1">
      <c r="A188" s="34"/>
      <c r="B188" s="35"/>
    </row>
    <row r="189" ht="15.75" customHeight="1">
      <c r="A189" s="34"/>
      <c r="B189" s="35"/>
    </row>
    <row r="190" ht="15.75" customHeight="1">
      <c r="A190" s="34"/>
      <c r="B190" s="35"/>
    </row>
    <row r="191" ht="15.75" customHeight="1">
      <c r="A191" s="34"/>
      <c r="B191" s="35"/>
    </row>
    <row r="192" ht="15.75" customHeight="1">
      <c r="A192" s="34"/>
      <c r="B192" s="35"/>
    </row>
    <row r="193" ht="15.75" customHeight="1">
      <c r="A193" s="34"/>
      <c r="B193" s="35"/>
    </row>
    <row r="194" ht="15.75" customHeight="1">
      <c r="A194" s="34"/>
      <c r="B194" s="35"/>
    </row>
    <row r="195" ht="15.75" customHeight="1">
      <c r="A195" s="34"/>
      <c r="B195" s="35"/>
    </row>
    <row r="196" ht="15.75" customHeight="1">
      <c r="A196" s="34"/>
      <c r="B196" s="35"/>
    </row>
    <row r="197" ht="15.75" customHeight="1">
      <c r="A197" s="34"/>
      <c r="B197" s="35"/>
    </row>
    <row r="198" ht="15.75" customHeight="1">
      <c r="A198" s="34"/>
      <c r="B198" s="35"/>
    </row>
    <row r="199" ht="15.75" customHeight="1">
      <c r="A199" s="34"/>
      <c r="B199" s="35"/>
    </row>
    <row r="200" ht="15.75" customHeight="1">
      <c r="A200" s="34"/>
      <c r="B200" s="35"/>
    </row>
    <row r="201" ht="15.75" customHeight="1">
      <c r="A201" s="34"/>
      <c r="B201" s="35"/>
    </row>
    <row r="202" ht="15.75" customHeight="1">
      <c r="A202" s="34"/>
      <c r="B202" s="35"/>
    </row>
    <row r="203" ht="15.75" customHeight="1">
      <c r="A203" s="34"/>
      <c r="B203" s="35"/>
    </row>
    <row r="204" ht="15.75" customHeight="1">
      <c r="A204" s="34"/>
      <c r="B204" s="35"/>
    </row>
    <row r="205" ht="15.75" customHeight="1">
      <c r="A205" s="34"/>
      <c r="B205" s="35"/>
    </row>
    <row r="206" ht="15.75" customHeight="1">
      <c r="A206" s="34"/>
      <c r="B206" s="35"/>
    </row>
    <row r="207" ht="15.75" customHeight="1">
      <c r="A207" s="34"/>
      <c r="B207" s="35"/>
    </row>
    <row r="208" ht="15.75" customHeight="1">
      <c r="A208" s="34"/>
      <c r="B208" s="35"/>
    </row>
    <row r="209" ht="15.75" customHeight="1">
      <c r="A209" s="34"/>
      <c r="B209" s="35"/>
    </row>
    <row r="210" ht="15.75" customHeight="1">
      <c r="A210" s="34"/>
      <c r="B210" s="35"/>
    </row>
    <row r="211" ht="15.75" customHeight="1">
      <c r="A211" s="34"/>
      <c r="B211" s="35"/>
    </row>
    <row r="212" ht="15.75" customHeight="1">
      <c r="A212" s="34"/>
      <c r="B212" s="35"/>
    </row>
    <row r="213" ht="15.75" customHeight="1">
      <c r="A213" s="34"/>
      <c r="B213" s="35"/>
    </row>
    <row r="214" ht="15.75" customHeight="1">
      <c r="A214" s="34"/>
      <c r="B214" s="35"/>
    </row>
    <row r="215" ht="15.75" customHeight="1">
      <c r="A215" s="34"/>
      <c r="B215" s="35"/>
    </row>
    <row r="216" ht="15.75" customHeight="1">
      <c r="A216" s="34"/>
      <c r="B216" s="35"/>
    </row>
    <row r="217" ht="15.75" customHeight="1">
      <c r="A217" s="34"/>
      <c r="B217" s="35"/>
    </row>
    <row r="218" ht="15.75" customHeight="1">
      <c r="A218" s="34"/>
      <c r="B218" s="35"/>
    </row>
    <row r="219" ht="15.75" customHeight="1">
      <c r="A219" s="34"/>
      <c r="B219" s="35"/>
    </row>
    <row r="220" ht="15.75" customHeight="1">
      <c r="A220" s="34"/>
      <c r="B220" s="35"/>
    </row>
    <row r="221" ht="15.75" customHeight="1">
      <c r="A221" s="34"/>
      <c r="B221" s="35"/>
    </row>
    <row r="222" ht="15.75" customHeight="1">
      <c r="A222" s="34"/>
      <c r="B222" s="35"/>
    </row>
    <row r="223" ht="15.75" customHeight="1">
      <c r="A223" s="34"/>
      <c r="B223" s="35"/>
    </row>
    <row r="224" ht="15.75" customHeight="1">
      <c r="A224" s="34"/>
      <c r="B224" s="35"/>
    </row>
    <row r="225" ht="15.75" customHeight="1">
      <c r="A225" s="34"/>
      <c r="B225" s="35"/>
    </row>
    <row r="226" ht="15.75" customHeight="1">
      <c r="A226" s="34"/>
      <c r="B226" s="35"/>
    </row>
    <row r="227" ht="15.75" customHeight="1">
      <c r="A227" s="34"/>
      <c r="B227" s="35"/>
    </row>
    <row r="228" ht="15.75" customHeight="1">
      <c r="A228" s="34"/>
      <c r="B228" s="35"/>
    </row>
    <row r="229" ht="15.75" customHeight="1">
      <c r="A229" s="34"/>
      <c r="B229" s="35"/>
    </row>
    <row r="230" ht="15.75" customHeight="1">
      <c r="A230" s="34"/>
      <c r="B230" s="35"/>
    </row>
    <row r="231" ht="15.75" customHeight="1">
      <c r="A231" s="34"/>
      <c r="B231" s="35"/>
    </row>
    <row r="232" ht="15.75" customHeight="1">
      <c r="A232" s="34"/>
      <c r="B232" s="35"/>
    </row>
    <row r="233" ht="15.75" customHeight="1">
      <c r="A233" s="34"/>
      <c r="B233" s="35"/>
    </row>
    <row r="234" ht="15.75" customHeight="1">
      <c r="A234" s="34"/>
      <c r="B234" s="35"/>
    </row>
    <row r="235" ht="15.75" customHeight="1">
      <c r="A235" s="34"/>
      <c r="B235" s="35"/>
    </row>
    <row r="236" ht="15.75" customHeight="1">
      <c r="A236" s="34"/>
      <c r="B236" s="35"/>
    </row>
    <row r="237" ht="15.75" customHeight="1">
      <c r="A237" s="34"/>
      <c r="B237" s="3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5.5"/>
  </cols>
  <sheetData>
    <row r="1">
      <c r="A1" s="37" t="s">
        <v>602</v>
      </c>
      <c r="B1" s="38" t="s">
        <v>603</v>
      </c>
      <c r="C1" s="37" t="s">
        <v>604</v>
      </c>
      <c r="D1" s="39"/>
      <c r="E1" s="40" t="s">
        <v>605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1"/>
      <c r="B2" s="42"/>
      <c r="C2" s="41"/>
      <c r="D2" s="39"/>
      <c r="E2" s="43" t="s">
        <v>606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1"/>
      <c r="B3" s="44" t="s">
        <v>48</v>
      </c>
      <c r="C3" s="41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5">
        <v>1.0</v>
      </c>
      <c r="B4" s="46" t="s">
        <v>607</v>
      </c>
      <c r="C4" s="41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5">
        <v>2.0</v>
      </c>
      <c r="B5" s="46" t="s">
        <v>608</v>
      </c>
      <c r="C5" s="41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5">
        <v>3.0</v>
      </c>
      <c r="B6" s="46" t="s">
        <v>609</v>
      </c>
      <c r="C6" s="41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>
        <v>4.0</v>
      </c>
      <c r="B7" s="47" t="str">
        <f>HYPERLINK("https://leetcode.com/problems/maximum-product-subarray/","maximum product subarray")</f>
        <v>maximum product subarray</v>
      </c>
      <c r="C7" s="41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5">
        <v>5.0</v>
      </c>
      <c r="B8" s="46" t="str">
        <f>HYPERLINK("https://leetcode.com/problems/majority-element/","majority element")</f>
        <v>majority element</v>
      </c>
      <c r="C8" s="41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5">
        <v>6.0</v>
      </c>
      <c r="B9" s="46" t="str">
        <f>HYPERLINK("https://leetcode.com/problems/majority-element-ii/","majority element 2")</f>
        <v>majority element 2</v>
      </c>
      <c r="C9" s="41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5">
        <v>7.0</v>
      </c>
      <c r="B10" s="48" t="s">
        <v>610</v>
      </c>
      <c r="C10" s="41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5">
        <v>8.0</v>
      </c>
      <c r="B11" s="46" t="str">
        <f>HYPERLINK("https://leetcode.com/problems/max-chunks-to-make-sorted/","Max chunks to make sorted")</f>
        <v>Max chunks to make sorted</v>
      </c>
      <c r="C11" s="41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>
        <v>9.0</v>
      </c>
      <c r="B12" s="49" t="s">
        <v>611</v>
      </c>
      <c r="C12" s="41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5">
        <v>10.0</v>
      </c>
      <c r="B13" s="49" t="str">
        <f>HYPERLINK("https://leetcode.com/problems/number-of-subarrays-with-bounded-maximum/","number of subarrays with bounded maximum")</f>
        <v>number of subarrays with bounded maximum</v>
      </c>
      <c r="C13" s="4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5">
        <v>11.0</v>
      </c>
      <c r="B14" s="50" t="str">
        <f>HYPERLINK("https://leetcode.com/problems/first-missing-positive/","First missing positive")</f>
        <v>First missing positive</v>
      </c>
      <c r="C14" s="4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5">
        <v>12.0</v>
      </c>
      <c r="B15" s="46" t="s">
        <v>612</v>
      </c>
      <c r="C15" s="4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5">
        <v>13.0</v>
      </c>
      <c r="B16" s="47" t="str">
        <f>HYPERLINK("https://www.geeksforgeeks.org/minimum-number-platforms-required-railwaybus-station/","Min No. of Platform")</f>
        <v>Min No. of Platform</v>
      </c>
      <c r="C16" s="41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5">
        <v>14.0</v>
      </c>
      <c r="B17" s="46" t="s">
        <v>613</v>
      </c>
      <c r="C17" s="41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1"/>
      <c r="B18" s="42"/>
      <c r="C18" s="41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1"/>
      <c r="B19" s="44" t="s">
        <v>57</v>
      </c>
      <c r="C19" s="41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5">
        <v>15.0</v>
      </c>
      <c r="B20" s="47" t="s">
        <v>614</v>
      </c>
      <c r="C20" s="41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5">
        <v>16.0</v>
      </c>
      <c r="B21" s="47" t="str">
        <f>HYPERLINK("https://www.geeksforgeeks.org/given-an-array-a-and-a-number-x-check-for-pair-in-a-with-sum-as-x/","Two Sum")</f>
        <v>Two Sum</v>
      </c>
      <c r="C21" s="41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5">
        <v>17.0</v>
      </c>
      <c r="B22" s="47" t="str">
        <f>HYPERLINK("https://www.geeksforgeeks.org/find-a-pair-with-the-given-difference/","Two Difference")</f>
        <v>Two Difference</v>
      </c>
      <c r="C22" s="41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1"/>
      <c r="B23" s="42"/>
      <c r="C23" s="41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1"/>
      <c r="B24" s="44" t="s">
        <v>615</v>
      </c>
      <c r="C24" s="41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5">
        <v>18.0</v>
      </c>
      <c r="B25" s="46" t="s">
        <v>616</v>
      </c>
      <c r="C25" s="41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5">
        <v>19.0</v>
      </c>
      <c r="B26" s="46" t="s">
        <v>617</v>
      </c>
      <c r="C26" s="41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5">
        <v>20.0</v>
      </c>
      <c r="B27" s="46" t="s">
        <v>113</v>
      </c>
      <c r="C27" s="41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5">
        <v>21.0</v>
      </c>
      <c r="B28" s="46" t="s">
        <v>618</v>
      </c>
      <c r="C28" s="41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>
        <v>22.0</v>
      </c>
      <c r="B29" s="46" t="s">
        <v>619</v>
      </c>
      <c r="C29" s="41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5">
        <v>23.0</v>
      </c>
      <c r="B30" s="46" t="s">
        <v>620</v>
      </c>
      <c r="C30" s="41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5">
        <v>24.0</v>
      </c>
      <c r="B31" s="46" t="s">
        <v>621</v>
      </c>
      <c r="C31" s="4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1"/>
      <c r="B32" s="42"/>
      <c r="C32" s="41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1"/>
      <c r="B33" s="51" t="s">
        <v>273</v>
      </c>
      <c r="C33" s="41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5">
        <v>25.0</v>
      </c>
      <c r="B34" s="46" t="s">
        <v>622</v>
      </c>
      <c r="C34" s="41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5">
        <v>26.0</v>
      </c>
      <c r="B35" s="52" t="s">
        <v>623</v>
      </c>
      <c r="C35" s="41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5">
        <v>27.0</v>
      </c>
      <c r="B36" s="52" t="s">
        <v>624</v>
      </c>
      <c r="C36" s="41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>
        <v>28.0</v>
      </c>
      <c r="B37" s="52" t="s">
        <v>625</v>
      </c>
      <c r="C37" s="4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5">
        <v>29.0</v>
      </c>
      <c r="B38" s="52" t="s">
        <v>626</v>
      </c>
      <c r="C38" s="4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1"/>
      <c r="B39" s="42"/>
      <c r="C39" s="4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1"/>
      <c r="B40" s="51" t="s">
        <v>627</v>
      </c>
      <c r="C40" s="4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5">
        <v>30.0</v>
      </c>
      <c r="B41" s="46" t="str">
        <f>HYPERLINK("https://www.geeksforgeeks.org/check-whether-arithmetic-progression-can-formed-given-array/","Check AP sequence")</f>
        <v>Check AP sequence</v>
      </c>
      <c r="C41" s="4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5">
        <v>31.0</v>
      </c>
      <c r="B42" s="46" t="str">
        <f>HYPERLINK("https://leetcode.com/problems/grid-illumination/","Grid illumination")</f>
        <v>Grid illumination</v>
      </c>
      <c r="C42" s="41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5">
        <v>32.0</v>
      </c>
      <c r="B43" s="46" t="str">
        <f>HYPERLINK("https://leetcode.com/problems/brick-wall/","Brick wall")</f>
        <v>Brick wall</v>
      </c>
      <c r="C43" s="4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5">
        <v>33.0</v>
      </c>
      <c r="B44" s="53" t="s">
        <v>628</v>
      </c>
      <c r="C44" s="41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5">
        <v>34.0</v>
      </c>
      <c r="B45" s="53" t="s">
        <v>629</v>
      </c>
      <c r="C45" s="4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5">
        <v>35.0</v>
      </c>
      <c r="B46" s="53" t="str">
        <f>HYPERLINK("https://leetcode.com/problems/insert-delete-getrandom-o1/","Insert Delete GetRandom O(1)")</f>
        <v>Insert Delete GetRandom O(1)</v>
      </c>
      <c r="C46" s="4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5">
        <v>36.0</v>
      </c>
      <c r="B47" s="53" t="str">
        <f>HYPERLINK("https://leetcode.com/problems/insert-delete-getrandom-o1-duplicates-allowed/","Insert delete get random duplicates allowed")</f>
        <v>Insert delete get random duplicates allowed</v>
      </c>
      <c r="C47" s="4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5">
        <v>37.0</v>
      </c>
      <c r="B48" s="46" t="str">
        <f>HYPERLINK("https://leetcode.com/problems/longest-consecutive-sequence/","Longest consecutive sequence")</f>
        <v>Longest consecutive sequence</v>
      </c>
      <c r="C48" s="41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5">
        <v>38.0</v>
      </c>
      <c r="B49" s="46" t="str">
        <f>HYPERLINK("https://leetcode.com/problems/find-all-anagrams-in-a-string/","Find all anagrams in a string")</f>
        <v>Find all anagrams in a string</v>
      </c>
      <c r="C49" s="4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5">
        <v>39.0</v>
      </c>
      <c r="B50" s="50" t="str">
        <f>HYPERLINK("https://leetcode.com/problems/minimum-window-substring/","Find smallest size of string containing all char of other")</f>
        <v>Find smallest size of string containing all char of other</v>
      </c>
      <c r="C50" s="41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5">
        <v>40.0</v>
      </c>
      <c r="B51" s="46" t="s">
        <v>630</v>
      </c>
      <c r="C51" s="4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5">
        <v>41.0</v>
      </c>
      <c r="B52" s="46" t="str">
        <f>HYPERLINK("https://www.geeksforgeeks.org/count-subarrays-equal-number-1s-0s/","subarray with equal number of 0 and 1")</f>
        <v>subarray with equal number of 0 and 1</v>
      </c>
      <c r="C52" s="4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5">
        <v>42.0</v>
      </c>
      <c r="B53" s="46" t="str">
        <f>HYPERLINK("https://www.geeksforgeeks.org/substring-equal-number-0-1-2/","Substring with equal 0 1 and 2")</f>
        <v>Substring with equal 0 1 and 2</v>
      </c>
      <c r="C53" s="4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1"/>
      <c r="B54" s="42"/>
      <c r="C54" s="41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1"/>
      <c r="B55" s="51" t="s">
        <v>631</v>
      </c>
      <c r="C55" s="4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5">
        <v>43.0</v>
      </c>
      <c r="B56" s="46" t="s">
        <v>632</v>
      </c>
      <c r="C56" s="4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5">
        <v>44.0</v>
      </c>
      <c r="B57" s="46" t="str">
        <f>HYPERLINK("https://leetcode.com/problems/minimum-number-of-refueling-stops/","Minimum number of refueling spots")</f>
        <v>Minimum number of refueling spots</v>
      </c>
      <c r="C57" s="4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5">
        <v>45.0</v>
      </c>
      <c r="B58" s="46" t="s">
        <v>633</v>
      </c>
      <c r="C58" s="41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5">
        <v>46.0</v>
      </c>
      <c r="B59" s="46" t="str">
        <f>HYPERLINK("https://leetcode.com/problems/employee-free-time/","Employee Free time")</f>
        <v>Employee Free time</v>
      </c>
      <c r="C59" s="4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5">
        <v>47.0</v>
      </c>
      <c r="B60" s="46" t="s">
        <v>634</v>
      </c>
      <c r="C60" s="41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1"/>
      <c r="B61" s="42"/>
      <c r="C61" s="4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1"/>
      <c r="B62" s="51" t="s">
        <v>15</v>
      </c>
      <c r="C62" s="41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5">
        <v>48.0</v>
      </c>
      <c r="B63" s="50" t="str">
        <f>HYPERLINK("https://leetcode.com/problems/capacity-to-ship-packages-within-d-days/","capacity to ship within D days")</f>
        <v>capacity to ship within D days</v>
      </c>
      <c r="C63" s="4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5">
        <v>49.0</v>
      </c>
      <c r="B64" s="46" t="s">
        <v>635</v>
      </c>
      <c r="C64" s="41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5">
        <v>50.0</v>
      </c>
      <c r="B65" s="46" t="str">
        <f>HYPERLINK("https://leetcode.com/problems/search-in-rotated-sorted-array/","search in rotated sorted array")</f>
        <v>search in rotated sorted array</v>
      </c>
      <c r="C65" s="41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5">
        <v>51.0</v>
      </c>
      <c r="B66" s="46" t="s">
        <v>636</v>
      </c>
      <c r="C66" s="41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5">
        <v>52.0</v>
      </c>
      <c r="B67" s="46" t="s">
        <v>637</v>
      </c>
      <c r="C67" s="41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5">
        <v>53.0</v>
      </c>
      <c r="B68" s="46" t="str">
        <f>HYPERLINK("https://leetcode.com/problems/median-of-two-sorted-arrays/","median of two sorted array")</f>
        <v>median of two sorted array</v>
      </c>
      <c r="C68" s="41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1"/>
      <c r="B69" s="42"/>
      <c r="C69" s="41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1"/>
      <c r="B70" s="51" t="s">
        <v>638</v>
      </c>
      <c r="C70" s="41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5">
        <v>54.0</v>
      </c>
      <c r="B71" s="46" t="str">
        <f>HYPERLINK("https://leetcode.com/problems/reverse-linked-list/","reverse LinkedList")</f>
        <v>reverse LinkedList</v>
      </c>
      <c r="C71" s="41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5">
        <v>55.0</v>
      </c>
      <c r="B72" s="46" t="str">
        <f>HYPERLINK("https://www.geeksforgeeks.org/write-a-c-function-to-print-the-middle-of-the-linked-list/","Find the middle element")</f>
        <v>Find the middle element</v>
      </c>
      <c r="C72" s="41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5">
        <v>56.0</v>
      </c>
      <c r="B73" s="46" t="str">
        <f>HYPERLINK("https://www.geeksforgeeks.org/detect-loop-in-a-linked-list/","Floyd cycle")</f>
        <v>Floyd cycle</v>
      </c>
      <c r="C73" s="41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5">
        <v>57.0</v>
      </c>
      <c r="B74" s="46" t="str">
        <f>HYPERLINK("https://www.geeksforgeeks.org/a-linked-list-with-next-and-arbit-pointer/","Clone a linkedlist")</f>
        <v>Clone a linkedlist</v>
      </c>
      <c r="C74" s="41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5">
        <v>58.0</v>
      </c>
      <c r="B75" s="46" t="s">
        <v>639</v>
      </c>
      <c r="C75" s="4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5">
        <v>59.0</v>
      </c>
      <c r="B76" s="46" t="str">
        <f>HYPERLINK("https://leetcode.com/problems/lru-cache/","LRU Cache")</f>
        <v>LRU Cache</v>
      </c>
      <c r="C76" s="41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1"/>
      <c r="B77" s="42"/>
      <c r="C77" s="41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1"/>
      <c r="B78" s="51" t="s">
        <v>640</v>
      </c>
      <c r="C78" s="4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5">
        <v>60.0</v>
      </c>
      <c r="B79" s="46" t="s">
        <v>532</v>
      </c>
      <c r="C79" s="41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5">
        <v>61.0</v>
      </c>
      <c r="B80" s="46" t="str">
        <f>HYPERLINK("https://leetcode.com/problems/largest-rectangle-in-histogram/","Largest Rectangular Area Histogram")</f>
        <v>Largest Rectangular Area Histogram</v>
      </c>
      <c r="C80" s="4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5">
        <v>62.0</v>
      </c>
      <c r="B81" s="46" t="str">
        <f>HYPERLINK("https://leetcode.com/problems/maximal-rectangle/","maximu size binary matrix containing 1")</f>
        <v>maximu size binary matrix containing 1</v>
      </c>
      <c r="C81" s="41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5">
        <v>63.0</v>
      </c>
      <c r="B82" s="46" t="str">
        <f>HYPERLINK("https://leetcode.com/problems/valid-parentheses/","Valid Parentheses")</f>
        <v>Valid Parentheses</v>
      </c>
      <c r="C82" s="4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5">
        <v>64.0</v>
      </c>
      <c r="B83" s="46" t="str">
        <f>HYPERLINK("https://leetcode.com/problems/min-stack/","Min Stack")</f>
        <v>Min Stack</v>
      </c>
      <c r="C83" s="41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5">
        <v>65.0</v>
      </c>
      <c r="B84" s="54" t="str">
        <f>HYPERLINK("https://www.geeksforgeeks.org/efficiently-implement-k-stacks-single-array/","K stacks in a single array")</f>
        <v>K stacks in a single array</v>
      </c>
      <c r="C84" s="4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5">
        <v>66.0</v>
      </c>
      <c r="B85" s="46" t="s">
        <v>641</v>
      </c>
      <c r="C85" s="41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5">
        <v>67.0</v>
      </c>
      <c r="B86" s="46" t="str">
        <f>HYPERLINK("https://www.geeksforgeeks.org/reversing-first-k-elements-queue/","K reverse in a queue")</f>
        <v>K reverse in a queue</v>
      </c>
      <c r="C86" s="4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5">
        <v>68.0</v>
      </c>
      <c r="B87" s="46" t="s">
        <v>642</v>
      </c>
      <c r="C87" s="41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1"/>
      <c r="B88" s="42"/>
      <c r="C88" s="4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1"/>
      <c r="B89" s="42"/>
      <c r="C89" s="4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1"/>
      <c r="B90" s="51" t="s">
        <v>643</v>
      </c>
      <c r="C90" s="4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5">
        <v>69.0</v>
      </c>
      <c r="B91" s="46" t="str">
        <f>HYPERLINK("https://leetcode.com/problems/binary-tree-preorder-traversal/","Preorder Traversal")</f>
        <v>Preorder Traversal</v>
      </c>
      <c r="C91" s="4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5">
        <v>70.0</v>
      </c>
      <c r="B92" s="46" t="str">
        <f>HYPERLINK("https://leetcode.com/problems/binary-tree-inorder-traversal/","Inorder Traversal")</f>
        <v>Inorder Traversal</v>
      </c>
      <c r="C92" s="4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5">
        <v>71.0</v>
      </c>
      <c r="B93" s="46" t="str">
        <f>HYPERLINK("https://leetcode.com/problems/binary-tree-postorder-traversal/","Postorder Traversal")</f>
        <v>Postorder Traversal</v>
      </c>
      <c r="C93" s="4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5">
        <v>72.0</v>
      </c>
      <c r="B94" s="46" t="str">
        <f>HYPERLINK("https://leetcode.com/problems/binary-tree-right-side-view/","right side view")</f>
        <v>right side view</v>
      </c>
      <c r="C94" s="4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5">
        <v>73.0</v>
      </c>
      <c r="B95" s="46" t="str">
        <f>HYPERLINK("https://practice.geeksforgeeks.org/problems/left-view-of-binary-tree/1","Left View")</f>
        <v>Left View</v>
      </c>
      <c r="C95" s="41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5">
        <v>74.0</v>
      </c>
      <c r="B96" s="46" t="s">
        <v>644</v>
      </c>
      <c r="C96" s="4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5">
        <v>75.0</v>
      </c>
      <c r="B97" s="46" t="str">
        <f>HYPERLINK("https://practice.geeksforgeeks.org/problems/bottom-view-of-binary-tree/1","Bottom View")</f>
        <v>Bottom View</v>
      </c>
      <c r="C97" s="41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5">
        <v>76.0</v>
      </c>
      <c r="B98" s="46" t="str">
        <f>HYPERLINK("https://leetcode.com/problems/vertical-order-traversal-of-a-binary-tree/","Vertical order")</f>
        <v>Vertical order</v>
      </c>
      <c r="C98" s="4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5">
        <v>77.0</v>
      </c>
      <c r="B99" s="46" t="str">
        <f>HYPERLINK("https://www.geeksforgeeks.org/diagonal-traversal-of-binary-tree/","Diagonal Traversal")</f>
        <v>Diagonal Traversal</v>
      </c>
      <c r="C99" s="41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5">
        <v>78.0</v>
      </c>
      <c r="B100" s="46" t="str">
        <f>HYPERLINK("https://leetcode.com/problems/boundary-of-binary-tree/","Boundary Traversal")</f>
        <v>Boundary Traversal</v>
      </c>
      <c r="C100" s="4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5">
        <v>79.0</v>
      </c>
      <c r="B101" s="46" t="str">
        <f>HYPERLINK("https://leetcode.com/problems/binary-tree-cameras/","Binary Tree Cameras")</f>
        <v>Binary Tree Cameras</v>
      </c>
      <c r="C101" s="41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5">
        <v>80.0</v>
      </c>
      <c r="B102" s="46" t="s">
        <v>645</v>
      </c>
      <c r="C102" s="4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5">
        <v>81.0</v>
      </c>
      <c r="B103" s="46" t="s">
        <v>646</v>
      </c>
      <c r="C103" s="41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5">
        <v>82.0</v>
      </c>
      <c r="B104" s="46" t="str">
        <f>HYPERLINK("https://leetcode.com/problems/construct-binary-tree-from-preorder-and-inorder-traversal/","Construct from inorder and preorder")</f>
        <v>Construct from inorder and preorder</v>
      </c>
      <c r="C104" s="4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5">
        <v>83.0</v>
      </c>
      <c r="B105" s="46" t="s">
        <v>647</v>
      </c>
      <c r="C105" s="41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5">
        <v>84.0</v>
      </c>
      <c r="B106" s="54" t="str">
        <f>HYPERLINK("https://www.geeksforgeeks.org/convert-a-binary-tree-to-a-circular-doubly-link-list/","Convert a binary tree to circular doubly linked list")</f>
        <v>Convert a binary tree to circular doubly linked list</v>
      </c>
      <c r="C106" s="4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5">
        <v>85.0</v>
      </c>
      <c r="B107" s="46" t="str">
        <f>HYPERLINK("https://www.geeksforgeeks.org/in-place-conversion-of-sorted-dll-to-balanced-bst/","Conversion of sorted DLL to BST")</f>
        <v>Conversion of sorted DLL to BST</v>
      </c>
      <c r="C107" s="41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5">
        <v>86.0</v>
      </c>
      <c r="B108" s="46" t="str">
        <f>HYPERLINK("https://practice.geeksforgeeks.org/problems/lowest-common-ancestor-in-a-binary-tree/1","Lowest common ancestor")</f>
        <v>Lowest common ancestor</v>
      </c>
      <c r="C108" s="4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5">
        <v>87.0</v>
      </c>
      <c r="B109" s="46" t="str">
        <f>HYPERLINK("https://leetcode.com/problems/serialize-and-deserialize-binary-tree/","serialize and deserialise")</f>
        <v>serialize and deserialise</v>
      </c>
      <c r="C109" s="41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1"/>
      <c r="B110" s="42"/>
      <c r="C110" s="4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1"/>
      <c r="B111" s="42"/>
      <c r="C111" s="41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1"/>
      <c r="B112" s="51" t="s">
        <v>648</v>
      </c>
      <c r="C112" s="4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5">
        <v>88.0</v>
      </c>
      <c r="B113" s="46" t="s">
        <v>649</v>
      </c>
      <c r="C113" s="41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5">
        <v>89.0</v>
      </c>
      <c r="B114" s="46" t="s">
        <v>650</v>
      </c>
      <c r="C114" s="4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5">
        <v>90.0</v>
      </c>
      <c r="B115" s="46" t="s">
        <v>651</v>
      </c>
      <c r="C115" s="41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1"/>
      <c r="B116" s="42"/>
      <c r="C116" s="4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1"/>
      <c r="B117" s="51" t="s">
        <v>652</v>
      </c>
      <c r="C117" s="41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5">
        <v>91.0</v>
      </c>
      <c r="B118" s="55" t="s">
        <v>653</v>
      </c>
      <c r="C118" s="4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5">
        <v>92.0</v>
      </c>
      <c r="B119" s="55" t="s">
        <v>653</v>
      </c>
      <c r="C119" s="41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5">
        <v>93.0</v>
      </c>
      <c r="B120" s="55" t="s">
        <v>654</v>
      </c>
      <c r="C120" s="41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5">
        <v>94.0</v>
      </c>
      <c r="B121" s="56" t="str">
        <f>HYPERLINK("https://leetcode.com/problems/russian-doll-envelopes/","Russian doll envelopes")</f>
        <v>Russian doll envelopes</v>
      </c>
      <c r="C121" s="41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5">
        <v>95.0</v>
      </c>
      <c r="B122" s="55" t="s">
        <v>655</v>
      </c>
      <c r="C122" s="41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5">
        <v>96.0</v>
      </c>
      <c r="B123" s="56" t="s">
        <v>656</v>
      </c>
      <c r="C123" s="41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5">
        <v>97.0</v>
      </c>
      <c r="B124" s="55" t="s">
        <v>657</v>
      </c>
      <c r="C124" s="41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5">
        <v>98.0</v>
      </c>
      <c r="B125" s="55" t="s">
        <v>658</v>
      </c>
      <c r="C125" s="41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5">
        <v>99.0</v>
      </c>
      <c r="B126" s="56" t="s">
        <v>659</v>
      </c>
      <c r="C126" s="41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5">
        <v>100.0</v>
      </c>
      <c r="B127" s="57" t="s">
        <v>660</v>
      </c>
      <c r="C127" s="41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5">
        <v>101.0</v>
      </c>
      <c r="B128" s="56" t="s">
        <v>661</v>
      </c>
      <c r="C128" s="41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5">
        <v>102.0</v>
      </c>
      <c r="B129" s="55" t="s">
        <v>662</v>
      </c>
      <c r="C129" s="41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5">
        <v>103.0</v>
      </c>
      <c r="B130" s="55" t="s">
        <v>663</v>
      </c>
      <c r="C130" s="41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5">
        <v>104.0</v>
      </c>
      <c r="B131" s="56" t="str">
        <f>HYPERLINK("https://leetcode.com/problems/best-time-to-buy-and-sell-stock/","best time to buy and sell stock")</f>
        <v>best time to buy and sell stock</v>
      </c>
      <c r="C131" s="41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5">
        <v>105.0</v>
      </c>
      <c r="B132" s="56" t="str">
        <f>HYPERLINK("https://leetcode.com/problems/best-time-to-buy-and-sell-stock-ii/","best time to buy and sell 2")</f>
        <v>best time to buy and sell 2</v>
      </c>
      <c r="C132" s="41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5">
        <v>106.0</v>
      </c>
      <c r="B133" s="55" t="s">
        <v>664</v>
      </c>
      <c r="C133" s="41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5">
        <v>107.0</v>
      </c>
      <c r="B134" s="56" t="str">
        <f>HYPERLINK("https://leetcode.com/problems/best-time-to-buy-and-sell-stock-with-cooldown/","best time to buy and sell with cool down")</f>
        <v>best time to buy and sell with cool down</v>
      </c>
      <c r="C134" s="41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5">
        <v>108.0</v>
      </c>
      <c r="B135" s="56" t="str">
        <f>HYPERLINK("https://leetcode.com/problems/best-time-to-buy-and-sell-stock-iii/","best time to buy and sell 3")</f>
        <v>best time to buy and sell 3</v>
      </c>
      <c r="C135" s="41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5">
        <v>109.0</v>
      </c>
      <c r="B136" s="56" t="str">
        <f>HYPERLINK("https://leetcode.com/problems/best-time-to-buy-and-sell-stock-iv/","best time to but and sell 4")</f>
        <v>best time to but and sell 4</v>
      </c>
      <c r="C136" s="41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5">
        <v>110.0</v>
      </c>
      <c r="B137" s="58" t="str">
        <f>HYPERLINK("https://leetcode.com/problems/burst-balloons/","burst balloons")</f>
        <v>burst balloons</v>
      </c>
      <c r="C137" s="41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5">
        <v>111.0</v>
      </c>
      <c r="B138" s="55" t="s">
        <v>665</v>
      </c>
      <c r="C138" s="41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5">
        <v>112.0</v>
      </c>
      <c r="B139" s="58" t="s">
        <v>666</v>
      </c>
      <c r="C139" s="41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5">
        <v>113.0</v>
      </c>
      <c r="B140" s="55" t="s">
        <v>667</v>
      </c>
      <c r="C140" s="41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5">
        <v>114.0</v>
      </c>
      <c r="B141" s="56" t="str">
        <f>HYPERLINK("https://www.geeksforgeeks.org/count-palindromic-subsequence-given-string/","Count all pallindromic subsequence")</f>
        <v>Count all pallindromic subsequence</v>
      </c>
      <c r="C141" s="4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5">
        <v>115.0</v>
      </c>
      <c r="B142" s="56" t="str">
        <f>HYPERLINK("https://leetcode.com/problems/count-different-palindromic-subsequences/","Count distinct pallindromic subsequence")</f>
        <v>Count distinct pallindromic subsequence</v>
      </c>
      <c r="C142" s="4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5">
        <v>116.0</v>
      </c>
      <c r="B143" s="55" t="str">
        <f>HYPERLINK("https://www.geeksforgeeks.org/number-subsequences-form-ai-bj-ck/","No. of sequence of type a^i+b^j+c^k")</f>
        <v>No. of sequence of type a^i+b^j+c^k</v>
      </c>
      <c r="C143" s="41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5">
        <v>117.0</v>
      </c>
      <c r="B144" s="56" t="s">
        <v>668</v>
      </c>
      <c r="C144" s="41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5">
        <v>118.0</v>
      </c>
      <c r="B145" s="56" t="s">
        <v>669</v>
      </c>
      <c r="C145" s="41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5">
        <v>119.0</v>
      </c>
      <c r="B146" s="55" t="s">
        <v>670</v>
      </c>
      <c r="C146" s="41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5">
        <v>120.0</v>
      </c>
      <c r="B147" s="55" t="s">
        <v>671</v>
      </c>
      <c r="C147" s="41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5">
        <v>121.0</v>
      </c>
      <c r="B148" s="55" t="s">
        <v>672</v>
      </c>
      <c r="C148" s="41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5">
        <v>122.0</v>
      </c>
      <c r="B149" s="55" t="s">
        <v>238</v>
      </c>
      <c r="C149" s="41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5">
        <v>123.0</v>
      </c>
      <c r="B150" s="55" t="s">
        <v>673</v>
      </c>
      <c r="C150" s="41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5">
        <v>124.0</v>
      </c>
      <c r="B151" s="55" t="s">
        <v>674</v>
      </c>
      <c r="C151" s="41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5">
        <v>125.0</v>
      </c>
      <c r="B152" s="55" t="s">
        <v>675</v>
      </c>
      <c r="C152" s="41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5">
        <v>126.0</v>
      </c>
      <c r="B153" s="55" t="s">
        <v>676</v>
      </c>
      <c r="C153" s="41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5">
        <v>127.0</v>
      </c>
      <c r="B154" s="55" t="s">
        <v>677</v>
      </c>
      <c r="C154" s="41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1"/>
      <c r="B155" s="42"/>
      <c r="C155" s="41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1"/>
      <c r="B156" s="42"/>
      <c r="C156" s="41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1"/>
      <c r="B157" s="51" t="s">
        <v>678</v>
      </c>
      <c r="C157" s="41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5">
        <v>128.0</v>
      </c>
      <c r="B158" s="46" t="s">
        <v>679</v>
      </c>
      <c r="C158" s="41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5">
        <v>129.0</v>
      </c>
      <c r="B159" s="46" t="s">
        <v>680</v>
      </c>
      <c r="C159" s="41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5">
        <v>130.0</v>
      </c>
      <c r="B160" s="46" t="s">
        <v>681</v>
      </c>
      <c r="C160" s="41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5">
        <v>131.0</v>
      </c>
      <c r="B161" s="46" t="str">
        <f>HYPERLINK("https://leetcode.com/problems/is-graph-bipartite/","Bipartite graph")</f>
        <v>Bipartite graph</v>
      </c>
      <c r="C161" s="41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5">
        <v>132.0</v>
      </c>
      <c r="B162" s="46" t="str">
        <f>HYPERLINK("https://leetcode.com/problems/bus-routes/","Bus routes")</f>
        <v>Bus routes</v>
      </c>
      <c r="C162" s="41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5">
        <v>133.0</v>
      </c>
      <c r="B163" s="54" t="str">
        <f>HYPERLINK("https://www.spoj.com/problems/MST/","Prim's Algo")</f>
        <v>Prim's Algo</v>
      </c>
      <c r="C163" s="41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5">
        <v>134.0</v>
      </c>
      <c r="B164" s="46" t="str">
        <f>HYPERLINK("https://www.geeksforgeeks.org/dijkstras-shortest-path-algorithm-greedy-algo-7/","Dijkstra algo")</f>
        <v>Dijkstra algo</v>
      </c>
      <c r="C164" s="41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5">
        <v>135.0</v>
      </c>
      <c r="B165" s="46" t="s">
        <v>682</v>
      </c>
      <c r="C165" s="41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5">
        <v>136.0</v>
      </c>
      <c r="B166" s="46" t="str">
        <f>HYPERLINK("https://leetcode.com/problems/01-matrix/","0-1 matrix")</f>
        <v>0-1 matrix</v>
      </c>
      <c r="C166" s="41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5">
        <v>137.0</v>
      </c>
      <c r="B167" s="46" t="str">
        <f>HYPERLINK("https://www.geeksforgeeks.org/bellman-ford-algorithm-dp-23/","bellman ford")</f>
        <v>bellman ford</v>
      </c>
      <c r="C167" s="41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5">
        <v>138.0</v>
      </c>
      <c r="B168" s="46" t="s">
        <v>683</v>
      </c>
      <c r="C168" s="41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5">
        <v>139.0</v>
      </c>
      <c r="B169" s="46" t="s">
        <v>684</v>
      </c>
      <c r="C169" s="41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5">
        <v>140.0</v>
      </c>
      <c r="B170" s="46" t="str">
        <f>HYPERLINK("https://www.geeksforgeeks.org/topological-sorting-indegree-based-solution/","Kahn's algo")</f>
        <v>Kahn's algo</v>
      </c>
      <c r="C170" s="41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5">
        <v>141.0</v>
      </c>
      <c r="B171" s="46" t="s">
        <v>306</v>
      </c>
      <c r="C171" s="41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5">
        <v>142.0</v>
      </c>
      <c r="B172" s="46" t="s">
        <v>685</v>
      </c>
      <c r="C172" s="41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5">
        <v>143.0</v>
      </c>
      <c r="B173" s="50" t="s">
        <v>686</v>
      </c>
      <c r="C173" s="41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5">
        <v>144.0</v>
      </c>
      <c r="B174" s="46" t="s">
        <v>687</v>
      </c>
      <c r="C174" s="41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5">
        <v>145.0</v>
      </c>
      <c r="B175" s="46" t="s">
        <v>688</v>
      </c>
      <c r="C175" s="41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5">
        <v>146.0</v>
      </c>
      <c r="B176" s="46" t="str">
        <f>HYPERLINK("https://leetcode.com/problems/redundant-connection-ii/","Redundant connection 2")</f>
        <v>Redundant connection 2</v>
      </c>
      <c r="C176" s="41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5">
        <v>147.0</v>
      </c>
      <c r="B177" s="46" t="str">
        <f>HYPERLINK("https://www.geeksforgeeks.org/articulation-points-or-cut-vertices-in-a-graph/","Articulation point")</f>
        <v>Articulation point</v>
      </c>
      <c r="C177" s="41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5">
        <v>148.0</v>
      </c>
      <c r="B178" s="46" t="str">
        <f>HYPERLINK("https://www.geeksforgeeks.org/minimum-number-swaps-required-sort-array/","Min swaps required to sort array")</f>
        <v>Min swaps required to sort array</v>
      </c>
      <c r="C178" s="41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5">
        <v>149.0</v>
      </c>
      <c r="B179" s="46" t="s">
        <v>689</v>
      </c>
      <c r="C179" s="41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5">
        <v>150.0</v>
      </c>
      <c r="B180" s="46" t="s">
        <v>690</v>
      </c>
      <c r="C180" s="41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5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5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5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5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5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5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5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5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5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5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5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5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5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5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5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5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5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5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5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5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5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5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5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5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5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5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5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5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5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5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5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5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5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5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5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5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5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5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5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5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5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5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5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5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5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5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5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5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5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5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5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5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5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5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5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5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5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5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5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5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5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5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5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5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5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5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5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5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5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5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5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5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5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5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5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5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5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5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5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5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5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5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5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5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5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5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5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5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5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5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5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5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5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5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5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5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5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5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5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5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5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5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5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5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5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5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5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5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5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5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5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5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5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5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5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5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5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5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5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5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5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5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5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5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5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5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5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5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5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5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5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5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5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5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5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5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5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5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5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5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5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5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5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5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5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5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5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5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5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5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5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5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5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5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5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5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5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5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5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5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5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5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5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5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5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5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5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5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5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5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5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5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5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5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5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5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5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5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5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5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5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5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5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5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5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5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5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5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5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5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5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5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5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5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5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5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5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5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5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5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5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5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5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5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5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5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5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5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5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5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5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5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5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5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5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5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5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5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5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5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5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5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5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5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5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5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5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5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5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5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5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5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5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5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5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5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5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5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5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5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5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5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5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5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5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5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5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5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5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5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5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5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5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5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5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5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5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5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5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5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5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5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5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5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5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5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5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5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5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5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5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5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5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5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5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5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5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5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5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5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5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5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5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5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5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5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5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5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5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5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5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5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5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5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5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5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5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5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5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5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5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5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5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5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5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5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5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5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5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5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5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5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5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5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5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5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5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5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5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5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5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5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5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5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5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5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5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5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5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5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5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5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5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5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5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5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5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5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5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5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5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5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5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5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5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5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5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5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5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5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5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5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5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5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5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5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5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5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5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5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5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5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5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5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5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5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5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5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5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5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5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5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5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5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5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5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5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5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5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5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5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5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5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5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5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5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5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5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5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5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5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5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5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5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5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5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5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5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5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5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5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5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5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5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5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5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5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5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5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5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5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5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5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5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5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5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5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5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5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5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5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5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5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5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5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5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5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5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5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5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5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5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5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5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5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5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5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5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5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5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5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5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5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5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5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5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5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5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5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5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5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5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5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5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5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5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5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5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5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5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5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5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5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5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5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5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5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5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5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5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5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5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5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5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5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5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5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5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5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5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5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5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5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5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5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5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5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5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5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5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5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5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5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5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5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5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5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5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5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5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5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5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5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5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5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5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5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5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5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5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5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5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5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5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5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5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5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5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5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5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5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5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5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5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5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5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5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5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5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5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5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5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5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5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5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5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5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5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5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5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5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5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5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5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5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5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5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5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5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5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5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5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5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5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5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5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5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5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5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5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5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5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5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5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5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5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5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5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5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5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5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5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5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5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5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5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5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5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5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5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5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5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5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5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5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5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5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5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5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5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5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5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5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5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5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5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5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5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5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5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5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5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5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5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5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5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5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5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5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5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5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5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5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5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5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5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5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5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5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5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5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5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5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5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5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5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5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5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5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5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5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5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5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5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5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5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5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5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5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5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5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5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5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5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5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5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5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5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5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5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5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5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5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5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5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5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5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5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5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5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5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5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5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5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5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5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5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5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5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5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5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5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5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5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5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5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5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5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5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5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5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5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5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5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5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5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5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5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5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5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5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5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5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5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5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5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5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5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5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5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5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5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5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5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5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5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5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5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5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5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5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5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5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5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5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5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5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5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5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5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5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5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5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5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5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5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5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5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5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5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5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5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5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5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5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5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5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5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5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5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5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5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5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5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5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5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5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5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5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5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5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5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5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5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5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5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5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5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5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5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5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5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5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5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5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5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5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5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5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5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5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5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5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5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5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5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5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5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5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5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5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5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5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5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5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5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5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5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5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5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5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5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5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5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5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5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5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5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5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5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5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5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5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5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5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5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5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5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5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5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5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5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5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5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5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5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5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5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5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5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ataValidations>
    <dataValidation type="list" allowBlank="1" showErrorMessage="1" sqref="C4:C17 C20:C22 C25:C31 C34:C38 C41:C53 C56:C60 C63:C68 C71:C76 C79:C87 C91:C109 C113:C115 C118:C154 C158:C180">
      <formula1>"No,Yes"</formula1>
    </dataValidation>
  </dataValidations>
  <hyperlinks>
    <hyperlink r:id="rId1" location="gid=0" ref="E2"/>
    <hyperlink r:id="rId2" ref="B4"/>
    <hyperlink r:id="rId3" ref="B5"/>
    <hyperlink r:id="rId4" ref="B6"/>
    <hyperlink r:id="rId5" ref="B10"/>
    <hyperlink r:id="rId6" ref="B12"/>
    <hyperlink r:id="rId7" ref="B15"/>
    <hyperlink r:id="rId8" ref="B17"/>
    <hyperlink r:id="rId9" ref="B20"/>
    <hyperlink r:id="rId10" ref="B25"/>
    <hyperlink r:id="rId11" ref="B26"/>
    <hyperlink r:id="rId12" ref="B27"/>
    <hyperlink r:id="rId13" ref="B28"/>
    <hyperlink r:id="rId14" ref="B29"/>
    <hyperlink r:id="rId15" ref="B30"/>
    <hyperlink r:id="rId16" ref="B31"/>
    <hyperlink r:id="rId17" ref="B34"/>
    <hyperlink r:id="rId18" ref="B35"/>
    <hyperlink r:id="rId19" ref="B36"/>
    <hyperlink r:id="rId20" ref="B37"/>
    <hyperlink r:id="rId21" ref="B38"/>
    <hyperlink r:id="rId22" ref="B44"/>
    <hyperlink r:id="rId23" ref="B45"/>
    <hyperlink r:id="rId24" ref="B51"/>
    <hyperlink r:id="rId25" ref="B56"/>
    <hyperlink r:id="rId26" ref="B58"/>
    <hyperlink r:id="rId27" ref="B60"/>
    <hyperlink r:id="rId28" ref="B64"/>
    <hyperlink r:id="rId29" ref="B66"/>
    <hyperlink r:id="rId30" ref="B67"/>
    <hyperlink r:id="rId31" ref="B75"/>
    <hyperlink r:id="rId32" ref="B79"/>
    <hyperlink r:id="rId33" ref="B85"/>
    <hyperlink r:id="rId34" ref="B87"/>
    <hyperlink r:id="rId35" ref="B96"/>
    <hyperlink r:id="rId36" ref="B102"/>
    <hyperlink r:id="rId37" ref="B103"/>
    <hyperlink r:id="rId38" ref="B105"/>
    <hyperlink r:id="rId39" ref="B113"/>
    <hyperlink r:id="rId40" ref="B114"/>
    <hyperlink r:id="rId41" ref="B115"/>
    <hyperlink r:id="rId42" ref="B118"/>
    <hyperlink r:id="rId43" ref="B119"/>
    <hyperlink r:id="rId44" ref="B120"/>
    <hyperlink r:id="rId45" ref="B122"/>
    <hyperlink r:id="rId46" ref="B123"/>
    <hyperlink r:id="rId47" ref="B124"/>
    <hyperlink r:id="rId48" ref="B125"/>
    <hyperlink r:id="rId49" ref="B126"/>
    <hyperlink r:id="rId50" ref="B128"/>
    <hyperlink r:id="rId51" ref="B129"/>
    <hyperlink r:id="rId52" ref="B130"/>
    <hyperlink r:id="rId53" ref="B133"/>
    <hyperlink r:id="rId54" ref="B138"/>
    <hyperlink r:id="rId55" ref="B139"/>
    <hyperlink r:id="rId56" ref="B140"/>
    <hyperlink r:id="rId57" ref="B144"/>
    <hyperlink r:id="rId58" ref="B145"/>
    <hyperlink r:id="rId59" ref="B146"/>
    <hyperlink r:id="rId60" ref="B147"/>
    <hyperlink r:id="rId61" ref="B148"/>
    <hyperlink r:id="rId62" ref="B149"/>
    <hyperlink r:id="rId63" ref="B150"/>
    <hyperlink r:id="rId64" ref="B151"/>
    <hyperlink r:id="rId65" ref="B152"/>
    <hyperlink r:id="rId66" ref="B153"/>
    <hyperlink r:id="rId67" ref="B154"/>
    <hyperlink r:id="rId68" ref="B158"/>
    <hyperlink r:id="rId69" ref="B159"/>
    <hyperlink r:id="rId70" ref="B160"/>
    <hyperlink r:id="rId71" ref="B165"/>
    <hyperlink r:id="rId72" ref="B168"/>
    <hyperlink r:id="rId73" ref="B169"/>
    <hyperlink r:id="rId74" ref="B171"/>
    <hyperlink r:id="rId75" ref="B172"/>
    <hyperlink r:id="rId76" ref="B173"/>
    <hyperlink r:id="rId77" ref="B174"/>
    <hyperlink r:id="rId78" ref="B175"/>
    <hyperlink r:id="rId79" ref="B179"/>
    <hyperlink r:id="rId80" ref="B180"/>
  </hyperlinks>
  <drawing r:id="rId81"/>
</worksheet>
</file>